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51196F13-6AD0-C1B8-E2B4-A1F9AE17003E}"/>
  <workbookPr filterPrivacy="1" codeName="ThisWorkbook" checkCompatibility="1" defaultThemeVersion="124226"/>
  <xr:revisionPtr revIDLastSave="0" documentId="13_ncr:1_{FB2DB2E9-F8D8-4C94-ACF6-4EB7B5695F6A}" xr6:coauthVersionLast="41" xr6:coauthVersionMax="41" xr10:uidLastSave="{00000000-0000-0000-0000-000000000000}"/>
  <bookViews>
    <workbookView xWindow="-28920" yWindow="-120" windowWidth="29040" windowHeight="15840" xr2:uid="{00000000-000D-0000-FFFF-FFFF00000000}"/>
  </bookViews>
  <sheets>
    <sheet name="Industry Employment" sheetId="5" r:id="rId1"/>
    <sheet name="Calc" sheetId="4" state="hidden" r:id="rId2"/>
    <sheet name="Trend Data IN" sheetId="6" r:id="rId3"/>
    <sheet name="Projections IN" sheetId="3" r:id="rId4"/>
  </sheets>
  <definedNames>
    <definedName name="_xlnm._FilterDatabase" localSheetId="3" hidden="1">'Projections IN'!$A$3:$B$420</definedName>
    <definedName name="_xlnm._FilterDatabase" localSheetId="2" hidden="1">'Trend Data IN'!$A$1:$D$1</definedName>
    <definedName name="Plot_origen">Calc!$I$363</definedName>
    <definedName name="Selected_Industry">Calc!$A$26</definedName>
    <definedName name="Srch1">Calc!$A$2:$A$21</definedName>
    <definedName name="Srch1to3">Calc!$F$2:$F$300</definedName>
    <definedName name="Srch2">Calc!$C$2:$C$121</definedName>
    <definedName name="Srch2to3">Calc!$I$2:$I$352</definedName>
    <definedName name="Transfer_origen">Calc!$A$363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5" l="1"/>
  <c r="P2" i="5"/>
  <c r="B364" i="4" l="1"/>
  <c r="C364" i="4"/>
  <c r="F364" i="4"/>
  <c r="G364" i="4"/>
  <c r="B365" i="4"/>
  <c r="C365" i="4"/>
  <c r="F365" i="4"/>
  <c r="G365" i="4"/>
  <c r="B366" i="4"/>
  <c r="C366" i="4"/>
  <c r="F366" i="4"/>
  <c r="G366" i="4"/>
  <c r="B367" i="4"/>
  <c r="C367" i="4"/>
  <c r="F367" i="4"/>
  <c r="G367" i="4"/>
  <c r="B368" i="4"/>
  <c r="C368" i="4"/>
  <c r="F368" i="4"/>
  <c r="G368" i="4"/>
  <c r="B369" i="4"/>
  <c r="C369" i="4"/>
  <c r="F369" i="4"/>
  <c r="G369" i="4"/>
  <c r="B370" i="4"/>
  <c r="C370" i="4"/>
  <c r="F370" i="4"/>
  <c r="G370" i="4"/>
  <c r="B371" i="4"/>
  <c r="C371" i="4"/>
  <c r="F371" i="4"/>
  <c r="G371" i="4"/>
  <c r="B372" i="4"/>
  <c r="C372" i="4"/>
  <c r="F372" i="4"/>
  <c r="G372" i="4"/>
  <c r="B373" i="4"/>
  <c r="C373" i="4"/>
  <c r="F373" i="4"/>
  <c r="G373" i="4"/>
  <c r="B374" i="4"/>
  <c r="C374" i="4"/>
  <c r="F374" i="4"/>
  <c r="G374" i="4"/>
  <c r="B375" i="4"/>
  <c r="C375" i="4"/>
  <c r="F375" i="4"/>
  <c r="G375" i="4"/>
  <c r="B376" i="4"/>
  <c r="C376" i="4"/>
  <c r="F376" i="4"/>
  <c r="G376" i="4"/>
  <c r="B377" i="4"/>
  <c r="C377" i="4"/>
  <c r="F377" i="4"/>
  <c r="G377" i="4"/>
  <c r="B378" i="4"/>
  <c r="C378" i="4"/>
  <c r="F378" i="4"/>
  <c r="G378" i="4"/>
  <c r="B379" i="4"/>
  <c r="C379" i="4"/>
  <c r="F379" i="4"/>
  <c r="G379" i="4"/>
  <c r="B380" i="4"/>
  <c r="C380" i="4"/>
  <c r="F380" i="4"/>
  <c r="G380" i="4"/>
  <c r="B381" i="4"/>
  <c r="C381" i="4"/>
  <c r="F381" i="4"/>
  <c r="G381" i="4"/>
  <c r="B382" i="4"/>
  <c r="C382" i="4"/>
  <c r="F382" i="4"/>
  <c r="G382" i="4"/>
  <c r="D377" i="4" l="1"/>
  <c r="E377" i="4" s="1"/>
  <c r="D367" i="4"/>
  <c r="E367" i="4" s="1"/>
  <c r="D366" i="4"/>
  <c r="E366" i="4" s="1"/>
  <c r="D364" i="4"/>
  <c r="E364" i="4" s="1"/>
  <c r="D373" i="4"/>
  <c r="E373" i="4" s="1"/>
  <c r="D382" i="4"/>
  <c r="E382" i="4" s="1"/>
  <c r="D380" i="4"/>
  <c r="D379" i="4"/>
  <c r="E379" i="4" s="1"/>
  <c r="D378" i="4"/>
  <c r="E378" i="4" s="1"/>
  <c r="D376" i="4"/>
  <c r="E376" i="4" s="1"/>
  <c r="D374" i="4"/>
  <c r="E374" i="4" s="1"/>
  <c r="D372" i="4"/>
  <c r="E372" i="4" s="1"/>
  <c r="D370" i="4"/>
  <c r="E370" i="4" s="1"/>
  <c r="D368" i="4"/>
  <c r="E368" i="4" s="1"/>
  <c r="E380" i="4"/>
  <c r="D381" i="4"/>
  <c r="E381" i="4" s="1"/>
  <c r="D375" i="4"/>
  <c r="E375" i="4" s="1"/>
  <c r="D371" i="4"/>
  <c r="E371" i="4" s="1"/>
  <c r="D369" i="4"/>
  <c r="E369" i="4" s="1"/>
  <c r="D365" i="4"/>
  <c r="E365" i="4" s="1"/>
  <c r="A30" i="4"/>
  <c r="Q358" i="4" s="1"/>
  <c r="B30" i="4"/>
  <c r="C363" i="4"/>
  <c r="B363" i="4"/>
  <c r="A359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A358" i="4"/>
  <c r="A34" i="4"/>
  <c r="G363" i="4"/>
  <c r="F363" i="4"/>
  <c r="D363" i="4" l="1"/>
  <c r="E363" i="4" s="1"/>
</calcChain>
</file>

<file path=xl/sharedStrings.xml><?xml version="1.0" encoding="utf-8"?>
<sst xmlns="http://schemas.openxmlformats.org/spreadsheetml/2006/main" count="2694" uniqueCount="823">
  <si>
    <t>Seq No</t>
  </si>
  <si>
    <t>Level</t>
  </si>
  <si>
    <t>ANZSIC06 Code</t>
  </si>
  <si>
    <t>ANZSIC 2006 Title</t>
  </si>
  <si>
    <t>A</t>
  </si>
  <si>
    <t>Agriculture, Forestry and Fishing</t>
  </si>
  <si>
    <t>01</t>
  </si>
  <si>
    <t>Agriculture</t>
  </si>
  <si>
    <t>010</t>
  </si>
  <si>
    <t>Agriculture, nfd</t>
  </si>
  <si>
    <t>011</t>
  </si>
  <si>
    <t>Nursery and Floriculture Production</t>
  </si>
  <si>
    <t>012</t>
  </si>
  <si>
    <t>Mushroom and Vegetable Growing</t>
  </si>
  <si>
    <t>013</t>
  </si>
  <si>
    <t>Fruit and Tree Nut Growing</t>
  </si>
  <si>
    <t>014</t>
  </si>
  <si>
    <t>Sheep, Beef Cattle and Grain Farming</t>
  </si>
  <si>
    <t>015</t>
  </si>
  <si>
    <t>Other Crop Growing</t>
  </si>
  <si>
    <t>016</t>
  </si>
  <si>
    <t>Dairy Cattle Farming</t>
  </si>
  <si>
    <t>017</t>
  </si>
  <si>
    <t>Poultry Farming</t>
  </si>
  <si>
    <t>018</t>
  </si>
  <si>
    <t>Deer Farming</t>
  </si>
  <si>
    <t>019</t>
  </si>
  <si>
    <t>Other Livestock Farming</t>
  </si>
  <si>
    <t>02</t>
  </si>
  <si>
    <t>Aquaculture</t>
  </si>
  <si>
    <t>020</t>
  </si>
  <si>
    <t>03</t>
  </si>
  <si>
    <t>Forestry and Logging</t>
  </si>
  <si>
    <t>030</t>
  </si>
  <si>
    <t>04</t>
  </si>
  <si>
    <t>Fishing, Hunting and Trapping</t>
  </si>
  <si>
    <t>040</t>
  </si>
  <si>
    <t>Fishing, Hunting and Trapping, nfd</t>
  </si>
  <si>
    <t>041</t>
  </si>
  <si>
    <t>Fishing</t>
  </si>
  <si>
    <t>042</t>
  </si>
  <si>
    <t>Hunting and Trapping</t>
  </si>
  <si>
    <t>05</t>
  </si>
  <si>
    <t>Agriculture, Forestry and Fishing Support Services</t>
  </si>
  <si>
    <t>050</t>
  </si>
  <si>
    <t>Agriculture, Forestry and Fishing Support Services, nfd</t>
  </si>
  <si>
    <t>051</t>
  </si>
  <si>
    <t>Forestry Support Services</t>
  </si>
  <si>
    <t>052</t>
  </si>
  <si>
    <t>Agriculture and Fishing Support Services</t>
  </si>
  <si>
    <t>A0</t>
  </si>
  <si>
    <t>Agriculture, Forestry and Fishing, nfd</t>
  </si>
  <si>
    <t>A00</t>
  </si>
  <si>
    <t>B</t>
  </si>
  <si>
    <t>Mining</t>
  </si>
  <si>
    <t>06</t>
  </si>
  <si>
    <t>Coal Mining</t>
  </si>
  <si>
    <t>060</t>
  </si>
  <si>
    <t>07</t>
  </si>
  <si>
    <t>Oil and Gas Extraction</t>
  </si>
  <si>
    <t>070</t>
  </si>
  <si>
    <t>08</t>
  </si>
  <si>
    <t>Metal Ore Mining</t>
  </si>
  <si>
    <t>080</t>
  </si>
  <si>
    <t>09</t>
  </si>
  <si>
    <t>Non-Metallic Mineral Mining and Quarrying</t>
  </si>
  <si>
    <t>090</t>
  </si>
  <si>
    <t>Non-Metallic Mineral Mining and Quarrying, nfd</t>
  </si>
  <si>
    <t>091</t>
  </si>
  <si>
    <t>Construction Material Mining</t>
  </si>
  <si>
    <t>099</t>
  </si>
  <si>
    <t>Other Non-Metallic Mineral Mining and Quarrying</t>
  </si>
  <si>
    <t>10</t>
  </si>
  <si>
    <t>Exploration and Other Mining Support Services</t>
  </si>
  <si>
    <t>100</t>
  </si>
  <si>
    <t>Exploration and Other Mining Support Services, nfd</t>
  </si>
  <si>
    <t>101</t>
  </si>
  <si>
    <t>Exploration</t>
  </si>
  <si>
    <t>109</t>
  </si>
  <si>
    <t>Other Mining Support Services</t>
  </si>
  <si>
    <t>B0</t>
  </si>
  <si>
    <t>Mining, nfd</t>
  </si>
  <si>
    <t>B00</t>
  </si>
  <si>
    <t>C</t>
  </si>
  <si>
    <t>Manufacturing</t>
  </si>
  <si>
    <t>11</t>
  </si>
  <si>
    <t>Food Product Manufacturing</t>
  </si>
  <si>
    <t>110</t>
  </si>
  <si>
    <t>Food Product Manufacturing, nfd</t>
  </si>
  <si>
    <t>111</t>
  </si>
  <si>
    <t>Meat and Meat Product Manufacturing</t>
  </si>
  <si>
    <t>112</t>
  </si>
  <si>
    <t>Seafood Processing</t>
  </si>
  <si>
    <t>113</t>
  </si>
  <si>
    <t>Dairy Product Manufacturing</t>
  </si>
  <si>
    <t>114</t>
  </si>
  <si>
    <t>Fruit and Vegetable Processing</t>
  </si>
  <si>
    <t>115</t>
  </si>
  <si>
    <t>Oil and Fat Manufacturing</t>
  </si>
  <si>
    <t>116</t>
  </si>
  <si>
    <t>Grain Mill and Cereal Product Manufacturing</t>
  </si>
  <si>
    <t>117</t>
  </si>
  <si>
    <t>Bakery Product Manufacturing</t>
  </si>
  <si>
    <t>118</t>
  </si>
  <si>
    <t>Sugar and Confectionery Manufacturing</t>
  </si>
  <si>
    <t>119</t>
  </si>
  <si>
    <t>Other Food Product Manufacturing</t>
  </si>
  <si>
    <t>12</t>
  </si>
  <si>
    <t>Beverage and Tobacco Product Manufacturing</t>
  </si>
  <si>
    <t>120</t>
  </si>
  <si>
    <t>Beverage and Tobacco Product Manufacturing, nfd</t>
  </si>
  <si>
    <t>121</t>
  </si>
  <si>
    <t>Beverage Manufacturing</t>
  </si>
  <si>
    <t>122</t>
  </si>
  <si>
    <t>Cigarette and Tobacco Product Manufacturing</t>
  </si>
  <si>
    <t>13</t>
  </si>
  <si>
    <t>Textile, Leather, Clothing and Footwear Manufacturing</t>
  </si>
  <si>
    <t>130</t>
  </si>
  <si>
    <t>Textile, Leather, Clothing and Footwear Manufacturing, nfd</t>
  </si>
  <si>
    <t>131</t>
  </si>
  <si>
    <t>Textile Manufacturing</t>
  </si>
  <si>
    <t>132</t>
  </si>
  <si>
    <t>Leather Tanning, Fur Dressing and Leather Product Manufacturing</t>
  </si>
  <si>
    <t>133</t>
  </si>
  <si>
    <t>Textile Product Manufacturing</t>
  </si>
  <si>
    <t>134</t>
  </si>
  <si>
    <t>Knitted Product Manufacturing</t>
  </si>
  <si>
    <t>135</t>
  </si>
  <si>
    <t>Clothing and Footwear Manufacturing</t>
  </si>
  <si>
    <t>14</t>
  </si>
  <si>
    <t>Wood Product Manufacturing</t>
  </si>
  <si>
    <t>140</t>
  </si>
  <si>
    <t>Wood Product Manufacturing, nfd</t>
  </si>
  <si>
    <t>141</t>
  </si>
  <si>
    <t>Log Sawmilling and Timber Dressing</t>
  </si>
  <si>
    <t>149</t>
  </si>
  <si>
    <t>Other Wood Product Manufacturing</t>
  </si>
  <si>
    <t>15</t>
  </si>
  <si>
    <t>Pulp, Paper and Converted Paper Product Manufacturing</t>
  </si>
  <si>
    <t>150</t>
  </si>
  <si>
    <t>Pulp, Paper and Converted Paper Product Manufacturing, nfd</t>
  </si>
  <si>
    <t>151</t>
  </si>
  <si>
    <t>Pulp, Paper and Paperboard Manufacturing</t>
  </si>
  <si>
    <t>152</t>
  </si>
  <si>
    <t>Converted Paper Product Manufacturing</t>
  </si>
  <si>
    <t>16</t>
  </si>
  <si>
    <t>Printing (including the Reproduction of Recorded Media)</t>
  </si>
  <si>
    <t>160</t>
  </si>
  <si>
    <t>Printing (including the Reproduction of Recorded Media), nfd</t>
  </si>
  <si>
    <t>161</t>
  </si>
  <si>
    <t>Printing and Printing Support Services</t>
  </si>
  <si>
    <t>162</t>
  </si>
  <si>
    <t>Reproduction of Recorded Media</t>
  </si>
  <si>
    <t>17</t>
  </si>
  <si>
    <t>Petroleum and Coal Product Manufacturing</t>
  </si>
  <si>
    <t>170</t>
  </si>
  <si>
    <t>18</t>
  </si>
  <si>
    <t>Basic Chemical and Chemical Product Manufacturing</t>
  </si>
  <si>
    <t>180</t>
  </si>
  <si>
    <t>Basic Chemical and Chemical Product Manufacturing, nfd</t>
  </si>
  <si>
    <t>181</t>
  </si>
  <si>
    <t>Basic Chemical Manufacturing</t>
  </si>
  <si>
    <t>182</t>
  </si>
  <si>
    <t>Basic Polymer Manufacturing</t>
  </si>
  <si>
    <t>183</t>
  </si>
  <si>
    <t>Fertiliser and Pesticide Manufacturing</t>
  </si>
  <si>
    <t>184</t>
  </si>
  <si>
    <t>Pharmaceutical and Medicinal Product Manufacturing</t>
  </si>
  <si>
    <t>185</t>
  </si>
  <si>
    <t>Cleaning Compound and Toiletry Preparation Manufacturing</t>
  </si>
  <si>
    <t>189</t>
  </si>
  <si>
    <t>Other Basic Chemical Product Manufacturing</t>
  </si>
  <si>
    <t>19</t>
  </si>
  <si>
    <t>Polymer Product and Rubber Product Manufacturing</t>
  </si>
  <si>
    <t>190</t>
  </si>
  <si>
    <t>Polymer Product and Rubber Product Manufacturing, nfd</t>
  </si>
  <si>
    <t>191</t>
  </si>
  <si>
    <t>Polymer Product Manufacturing</t>
  </si>
  <si>
    <t>192</t>
  </si>
  <si>
    <t>Natural Rubber Product Manufacturing</t>
  </si>
  <si>
    <t>20</t>
  </si>
  <si>
    <t>Non-Metallic Mineral Product Manufacturing</t>
  </si>
  <si>
    <t>200</t>
  </si>
  <si>
    <t>Non-Metallic Mineral Product Manufacturing, nfd</t>
  </si>
  <si>
    <t>201</t>
  </si>
  <si>
    <t>Glass and Glass Product Manufacturing</t>
  </si>
  <si>
    <t>202</t>
  </si>
  <si>
    <t>Ceramic Product Manufacturing</t>
  </si>
  <si>
    <t>203</t>
  </si>
  <si>
    <t>Cement, Lime, Plaster and Concrete Product Manufacturing</t>
  </si>
  <si>
    <t>209</t>
  </si>
  <si>
    <t>Other Non-Metallic Mineral Product Manufacturing</t>
  </si>
  <si>
    <t>21</t>
  </si>
  <si>
    <t>Primary Metal and Metal Product Manufacturing</t>
  </si>
  <si>
    <t>210</t>
  </si>
  <si>
    <t>Primary Metal and Metal Product Manufacturing, nfd</t>
  </si>
  <si>
    <t>211</t>
  </si>
  <si>
    <t>Basic Ferrous Metal Manufacturing</t>
  </si>
  <si>
    <t>212</t>
  </si>
  <si>
    <t>Basic Ferrous Metal Product Manufacturing</t>
  </si>
  <si>
    <t>213</t>
  </si>
  <si>
    <t>Basic Non-Ferrous Metal Manufacturing</t>
  </si>
  <si>
    <t>214</t>
  </si>
  <si>
    <t>Basic Non-Ferrous Metal Product Manufacturing</t>
  </si>
  <si>
    <t>22</t>
  </si>
  <si>
    <t>Fabricated Metal Product Manufacturing</t>
  </si>
  <si>
    <t>220</t>
  </si>
  <si>
    <t>Fabricated Metal Product Manufacturing, nfd</t>
  </si>
  <si>
    <t>221</t>
  </si>
  <si>
    <t>Iron and Steel Forging</t>
  </si>
  <si>
    <t>222</t>
  </si>
  <si>
    <t>Structural Metal Product Manufacturing</t>
  </si>
  <si>
    <t>223</t>
  </si>
  <si>
    <t>Metal Container Manufacturing</t>
  </si>
  <si>
    <t>224</t>
  </si>
  <si>
    <t>Sheet Metal Product Manufacturing (except Metal Structural and Container Products)</t>
  </si>
  <si>
    <t>229</t>
  </si>
  <si>
    <t>Other Fabricated Metal Product Manufacturing</t>
  </si>
  <si>
    <t>23</t>
  </si>
  <si>
    <t>Transport Equipment Manufacturing</t>
  </si>
  <si>
    <t>230</t>
  </si>
  <si>
    <t>Transport Equipment Manufacturing, nfd</t>
  </si>
  <si>
    <t>231</t>
  </si>
  <si>
    <t>Motor Vehicle and Motor Vehicle Part Manufacturing</t>
  </si>
  <si>
    <t>239</t>
  </si>
  <si>
    <t>Other Transport Equipment Manufacturing</t>
  </si>
  <si>
    <t>24</t>
  </si>
  <si>
    <t>Machinery and Equipment Manufacturing</t>
  </si>
  <si>
    <t>240</t>
  </si>
  <si>
    <t>Machinery and Equipment Manufacturing, nfd</t>
  </si>
  <si>
    <t>241</t>
  </si>
  <si>
    <t>Professional and Scientific Equipment Manufacturing</t>
  </si>
  <si>
    <t>242</t>
  </si>
  <si>
    <t>Computer and Electronic Equipment Manufacturing</t>
  </si>
  <si>
    <t>243</t>
  </si>
  <si>
    <t>Electrical Equipment Manufacturing</t>
  </si>
  <si>
    <t>244</t>
  </si>
  <si>
    <t>Domestic Appliance Manufacturing</t>
  </si>
  <si>
    <t>245</t>
  </si>
  <si>
    <t>Pump, Compressor, Heating and Ventilation Equipment Manufacturing</t>
  </si>
  <si>
    <t>246</t>
  </si>
  <si>
    <t>Specialised Machinery and Equipment Manufacturing</t>
  </si>
  <si>
    <t>249</t>
  </si>
  <si>
    <t>Other Machinery and Equipment Manufacturing</t>
  </si>
  <si>
    <t>25</t>
  </si>
  <si>
    <t>Furniture and Other Manufacturing</t>
  </si>
  <si>
    <t>250</t>
  </si>
  <si>
    <t>Furniture and Other Manufacturing, nfd</t>
  </si>
  <si>
    <t>251</t>
  </si>
  <si>
    <t>Furniture Manufacturing</t>
  </si>
  <si>
    <t>259</t>
  </si>
  <si>
    <t>Other Manufacturing</t>
  </si>
  <si>
    <t>C0</t>
  </si>
  <si>
    <t>Manufacturing, nfd</t>
  </si>
  <si>
    <t>C00</t>
  </si>
  <si>
    <t>D</t>
  </si>
  <si>
    <t>Electricity, Gas, Water and Waste Services</t>
  </si>
  <si>
    <t>26</t>
  </si>
  <si>
    <t>Electricity Supply</t>
  </si>
  <si>
    <t>260</t>
  </si>
  <si>
    <t>Electricity Supply, nfd</t>
  </si>
  <si>
    <t>261</t>
  </si>
  <si>
    <t>Electricity Generation</t>
  </si>
  <si>
    <t>262</t>
  </si>
  <si>
    <t>Electricity Transmission</t>
  </si>
  <si>
    <t>263</t>
  </si>
  <si>
    <t>Electricity Distribution</t>
  </si>
  <si>
    <t>264</t>
  </si>
  <si>
    <t>On Selling Electricity and Electricity Market Operation</t>
  </si>
  <si>
    <t>27</t>
  </si>
  <si>
    <t>Gas Supply</t>
  </si>
  <si>
    <t>270</t>
  </si>
  <si>
    <t>28</t>
  </si>
  <si>
    <t>Water Supply, Sewerage and Drainage Services</t>
  </si>
  <si>
    <t>281</t>
  </si>
  <si>
    <t>29</t>
  </si>
  <si>
    <t>Waste Collection, Treatment and Disposal Services</t>
  </si>
  <si>
    <t>290</t>
  </si>
  <si>
    <t>Waste Collection, Treatment and Disposal Services, nfd</t>
  </si>
  <si>
    <t>291</t>
  </si>
  <si>
    <t>Waste Collection Services</t>
  </si>
  <si>
    <t>292</t>
  </si>
  <si>
    <t>Waste Treatment, Disposal and Remediation Services</t>
  </si>
  <si>
    <t>D0</t>
  </si>
  <si>
    <t>Electricity, Gas, Water and Waste Services, nfd</t>
  </si>
  <si>
    <t>D00</t>
  </si>
  <si>
    <t>E</t>
  </si>
  <si>
    <t>Construction</t>
  </si>
  <si>
    <t>30</t>
  </si>
  <si>
    <t>Building Construction</t>
  </si>
  <si>
    <t>300</t>
  </si>
  <si>
    <t>Building Construction, nfd</t>
  </si>
  <si>
    <t>301</t>
  </si>
  <si>
    <t>Residential Building Construction</t>
  </si>
  <si>
    <t>302</t>
  </si>
  <si>
    <t>Non-Residential Building Construction</t>
  </si>
  <si>
    <t>31</t>
  </si>
  <si>
    <t>Heavy and Civil Engineering Construction</t>
  </si>
  <si>
    <t>310</t>
  </si>
  <si>
    <t>32</t>
  </si>
  <si>
    <t>Construction Services</t>
  </si>
  <si>
    <t>320</t>
  </si>
  <si>
    <t>Construction Services, nfd</t>
  </si>
  <si>
    <t>321</t>
  </si>
  <si>
    <t>Land Development and Site Preparation Services</t>
  </si>
  <si>
    <t>322</t>
  </si>
  <si>
    <t>Building Structure Services</t>
  </si>
  <si>
    <t>323</t>
  </si>
  <si>
    <t>Building Installation Services</t>
  </si>
  <si>
    <t>324</t>
  </si>
  <si>
    <t>Building Completion Services</t>
  </si>
  <si>
    <t>329</t>
  </si>
  <si>
    <t>Other Construction Services</t>
  </si>
  <si>
    <t>E0</t>
  </si>
  <si>
    <t>Construction, nfd</t>
  </si>
  <si>
    <t>E00</t>
  </si>
  <si>
    <t>F</t>
  </si>
  <si>
    <t>Wholesale Trade</t>
  </si>
  <si>
    <t>33</t>
  </si>
  <si>
    <t>Basic Material Wholesaling</t>
  </si>
  <si>
    <t>330</t>
  </si>
  <si>
    <t>Basic Material Wholesaling, nfd</t>
  </si>
  <si>
    <t>331</t>
  </si>
  <si>
    <t>Agricultural Product Wholesaling</t>
  </si>
  <si>
    <t>332</t>
  </si>
  <si>
    <t>Mineral, Metal and Chemical Wholesaling</t>
  </si>
  <si>
    <t>333</t>
  </si>
  <si>
    <t>Timber and Hardware Goods Wholesaling</t>
  </si>
  <si>
    <t>34</t>
  </si>
  <si>
    <t>Machinery and Equipment Wholesaling</t>
  </si>
  <si>
    <t>340</t>
  </si>
  <si>
    <t>Machinery and Equipment Wholesaling, nfd</t>
  </si>
  <si>
    <t>341</t>
  </si>
  <si>
    <t>Specialised Industrial Machinery and Equipment Wholesaling</t>
  </si>
  <si>
    <t>349</t>
  </si>
  <si>
    <t>Other Machinery and Equipment Wholesaling</t>
  </si>
  <si>
    <t>35</t>
  </si>
  <si>
    <t>Motor Vehicle and Motor Vehicle Parts Wholesaling</t>
  </si>
  <si>
    <t>350</t>
  </si>
  <si>
    <t>36</t>
  </si>
  <si>
    <t>Grocery, Liquor and Tobacco Product Wholesaling</t>
  </si>
  <si>
    <t>360</t>
  </si>
  <si>
    <t>37</t>
  </si>
  <si>
    <t>Other Goods Wholesaling</t>
  </si>
  <si>
    <t>370</t>
  </si>
  <si>
    <t>Other Goods Wholesaling, nfd</t>
  </si>
  <si>
    <t>371</t>
  </si>
  <si>
    <t>Textile, Clothing and Footwear Wholesaling</t>
  </si>
  <si>
    <t>372</t>
  </si>
  <si>
    <t>Pharmaceutical and Toiletry Goods Wholesaling</t>
  </si>
  <si>
    <t>373</t>
  </si>
  <si>
    <t>Furniture, Floor Covering and Other Goods Wholesaling</t>
  </si>
  <si>
    <t>38</t>
  </si>
  <si>
    <t>Commission-Based Wholesaling</t>
  </si>
  <si>
    <t>380</t>
  </si>
  <si>
    <t>F0</t>
  </si>
  <si>
    <t>Wholesale Trade, nfd</t>
  </si>
  <si>
    <t>F00</t>
  </si>
  <si>
    <t>G</t>
  </si>
  <si>
    <t>Retail Trade</t>
  </si>
  <si>
    <t>39</t>
  </si>
  <si>
    <t>Motor Vehicle and Motor Vehicle Parts Retailing</t>
  </si>
  <si>
    <t>390</t>
  </si>
  <si>
    <t>Motor Vehicle and Motor Vehicle Parts Retailing, nfd</t>
  </si>
  <si>
    <t>391</t>
  </si>
  <si>
    <t>Motor Vehicle Retailing</t>
  </si>
  <si>
    <t>392</t>
  </si>
  <si>
    <t>Motor Vehicle Parts and Tyre Retailing</t>
  </si>
  <si>
    <t>40</t>
  </si>
  <si>
    <t>Fuel Retailing</t>
  </si>
  <si>
    <t>400</t>
  </si>
  <si>
    <t>41</t>
  </si>
  <si>
    <t>Food Retailing</t>
  </si>
  <si>
    <t>410</t>
  </si>
  <si>
    <t>Food Retailing, nfd</t>
  </si>
  <si>
    <t>411</t>
  </si>
  <si>
    <t>Supermarket and Grocery Stores</t>
  </si>
  <si>
    <t>412</t>
  </si>
  <si>
    <t>Specialised Food Retailing</t>
  </si>
  <si>
    <t>42</t>
  </si>
  <si>
    <t>Other Store-Based Retailing</t>
  </si>
  <si>
    <t>420</t>
  </si>
  <si>
    <t>Other Store-Based Retailing, nfd</t>
  </si>
  <si>
    <t>421</t>
  </si>
  <si>
    <t>Furniture, Floor Coverings, Houseware and Textile Goods Retailing</t>
  </si>
  <si>
    <t>422</t>
  </si>
  <si>
    <t>Electrical and Electronic Goods Retailing</t>
  </si>
  <si>
    <t>423</t>
  </si>
  <si>
    <t>Hardware, Building and Garden Supplies Retailing</t>
  </si>
  <si>
    <t>424</t>
  </si>
  <si>
    <t>Recreational Goods Retailing</t>
  </si>
  <si>
    <t>425</t>
  </si>
  <si>
    <t>Clothing, Footwear and Personal Accessory Retailing</t>
  </si>
  <si>
    <t>426</t>
  </si>
  <si>
    <t>Department Stores</t>
  </si>
  <si>
    <t>427</t>
  </si>
  <si>
    <t>Pharmaceutical and Other Store-Based Retailing</t>
  </si>
  <si>
    <t>43</t>
  </si>
  <si>
    <t>Non-Store Retailing and Retail Commission-Based Buying and/or Selling</t>
  </si>
  <si>
    <t>430</t>
  </si>
  <si>
    <t>Non-Store Retailing and Retail Commission-Based Buying and/or Selling, nfd</t>
  </si>
  <si>
    <t>431</t>
  </si>
  <si>
    <t>Non-Store Retailing</t>
  </si>
  <si>
    <t>432</t>
  </si>
  <si>
    <t>Retail Commission-Based Buying and/or Selling</t>
  </si>
  <si>
    <t>G0</t>
  </si>
  <si>
    <t>Retail Trade, nfd</t>
  </si>
  <si>
    <t>G00</t>
  </si>
  <si>
    <t>H</t>
  </si>
  <si>
    <t>Accommodation and Food Services</t>
  </si>
  <si>
    <t>44</t>
  </si>
  <si>
    <t>Accommodation</t>
  </si>
  <si>
    <t>440</t>
  </si>
  <si>
    <t>45</t>
  </si>
  <si>
    <t>Food and Beverage Services</t>
  </si>
  <si>
    <t>450</t>
  </si>
  <si>
    <t>Food and Beverage Services, nfd</t>
  </si>
  <si>
    <t>451</t>
  </si>
  <si>
    <t>Cafes, Restaurants and Takeaway Food Services</t>
  </si>
  <si>
    <t>452</t>
  </si>
  <si>
    <t>Pubs, Taverns and Bars</t>
  </si>
  <si>
    <t>453</t>
  </si>
  <si>
    <t>Clubs (Hospitality)</t>
  </si>
  <si>
    <t>H0</t>
  </si>
  <si>
    <t>Accommodation and Food Services, nfd</t>
  </si>
  <si>
    <t>H00</t>
  </si>
  <si>
    <t>I</t>
  </si>
  <si>
    <t>Transport, Postal and Warehousing</t>
  </si>
  <si>
    <t>46</t>
  </si>
  <si>
    <t>Road Transport</t>
  </si>
  <si>
    <t>460</t>
  </si>
  <si>
    <t>Road Transport, nfd</t>
  </si>
  <si>
    <t>461</t>
  </si>
  <si>
    <t>Road Freight Transport</t>
  </si>
  <si>
    <t>462</t>
  </si>
  <si>
    <t>Road Passenger Transport</t>
  </si>
  <si>
    <t>47</t>
  </si>
  <si>
    <t>Rail Transport</t>
  </si>
  <si>
    <t>470</t>
  </si>
  <si>
    <t>Rail Transport, nfd</t>
  </si>
  <si>
    <t>471</t>
  </si>
  <si>
    <t>Rail Freight Transport</t>
  </si>
  <si>
    <t>472</t>
  </si>
  <si>
    <t>Rail Passenger Transport</t>
  </si>
  <si>
    <t>48</t>
  </si>
  <si>
    <t>Water Transport</t>
  </si>
  <si>
    <t>480</t>
  </si>
  <si>
    <t>Water Transport, nfd</t>
  </si>
  <si>
    <t>481</t>
  </si>
  <si>
    <t>Water Freight Transport</t>
  </si>
  <si>
    <t>482</t>
  </si>
  <si>
    <t>Water Passenger Transport</t>
  </si>
  <si>
    <t>49</t>
  </si>
  <si>
    <t>Air and Space Transport</t>
  </si>
  <si>
    <t>490</t>
  </si>
  <si>
    <t>50</t>
  </si>
  <si>
    <t>Other Transport</t>
  </si>
  <si>
    <t>500</t>
  </si>
  <si>
    <t>Other Transport, nfd</t>
  </si>
  <si>
    <t>501</t>
  </si>
  <si>
    <t>Scenic and Sightseeing Transport</t>
  </si>
  <si>
    <t>502</t>
  </si>
  <si>
    <t>Pipeline and Other Transport</t>
  </si>
  <si>
    <t>51</t>
  </si>
  <si>
    <t>Postal and Courier Pick-up and Delivery Services</t>
  </si>
  <si>
    <t>510</t>
  </si>
  <si>
    <t>52</t>
  </si>
  <si>
    <t>Transport Support Services</t>
  </si>
  <si>
    <t>520</t>
  </si>
  <si>
    <t>Transport Support Services, nfd</t>
  </si>
  <si>
    <t>521</t>
  </si>
  <si>
    <t>Water Transport Support Services</t>
  </si>
  <si>
    <t>522</t>
  </si>
  <si>
    <t>Airport Operations and Other Air Transport Support Services</t>
  </si>
  <si>
    <t>529</t>
  </si>
  <si>
    <t>Other Transport Support Services</t>
  </si>
  <si>
    <t>53</t>
  </si>
  <si>
    <t>Warehousing and Storage Services</t>
  </si>
  <si>
    <t>530</t>
  </si>
  <si>
    <t>I0</t>
  </si>
  <si>
    <t>Transport, Postal and Warehousing, nfd</t>
  </si>
  <si>
    <t>I00</t>
  </si>
  <si>
    <t>J</t>
  </si>
  <si>
    <t>Information Media and Telecommunications</t>
  </si>
  <si>
    <t>54</t>
  </si>
  <si>
    <t>Publishing (except Internet and Music Publishing)</t>
  </si>
  <si>
    <t>540</t>
  </si>
  <si>
    <t>Publishing (except Internet and Music Publishing), nfd</t>
  </si>
  <si>
    <t>541</t>
  </si>
  <si>
    <t>Newspaper, Periodical, Book and Directory Publishing</t>
  </si>
  <si>
    <t>542</t>
  </si>
  <si>
    <t>Software Publishing</t>
  </si>
  <si>
    <t>55</t>
  </si>
  <si>
    <t>Motion Picture and Sound Recording Activities</t>
  </si>
  <si>
    <t>550</t>
  </si>
  <si>
    <t>Motion Picture and Sound Recording Activities, nfd</t>
  </si>
  <si>
    <t>551</t>
  </si>
  <si>
    <t>Motion Picture and Video Activities</t>
  </si>
  <si>
    <t>552</t>
  </si>
  <si>
    <t>Sound Recording and Music Publishing</t>
  </si>
  <si>
    <t>56</t>
  </si>
  <si>
    <t>Broadcasting (except Internet)</t>
  </si>
  <si>
    <t>560</t>
  </si>
  <si>
    <t>Broadcasting (except Internet), nfd</t>
  </si>
  <si>
    <t>561</t>
  </si>
  <si>
    <t>Radio Broadcasting</t>
  </si>
  <si>
    <t>562</t>
  </si>
  <si>
    <t>Television Broadcasting</t>
  </si>
  <si>
    <t>57</t>
  </si>
  <si>
    <t>Internet Publishing and Broadcasting</t>
  </si>
  <si>
    <t>570</t>
  </si>
  <si>
    <t>58</t>
  </si>
  <si>
    <t>Telecommunications Services</t>
  </si>
  <si>
    <t>580</t>
  </si>
  <si>
    <t>59</t>
  </si>
  <si>
    <t>Internet Service Providers, Web Search Portals and Data Processing Services</t>
  </si>
  <si>
    <t>590</t>
  </si>
  <si>
    <t>Internet Service Providers, Web Search Portals and Data Processing Services, nfd</t>
  </si>
  <si>
    <t>591</t>
  </si>
  <si>
    <t>Internet Service Providers and Web Search Portals</t>
  </si>
  <si>
    <t>592</t>
  </si>
  <si>
    <t>Data Processing, Web Hosting and Electronic Information Storage Services</t>
  </si>
  <si>
    <t>60</t>
  </si>
  <si>
    <t>Library and Other Information Services</t>
  </si>
  <si>
    <t>600</t>
  </si>
  <si>
    <t>Library and Other Information Services, nfd</t>
  </si>
  <si>
    <t>601</t>
  </si>
  <si>
    <t>Libraries and Archives</t>
  </si>
  <si>
    <t>602</t>
  </si>
  <si>
    <t>Other Information Services</t>
  </si>
  <si>
    <t>J0</t>
  </si>
  <si>
    <t>Information Media and Telecommunications, nfd</t>
  </si>
  <si>
    <t>J00</t>
  </si>
  <si>
    <t>K</t>
  </si>
  <si>
    <t>Financial and Insurance Services</t>
  </si>
  <si>
    <t>62</t>
  </si>
  <si>
    <t>Finance</t>
  </si>
  <si>
    <t>620</t>
  </si>
  <si>
    <t>Finance, nfd</t>
  </si>
  <si>
    <t>621</t>
  </si>
  <si>
    <t>Central Banking</t>
  </si>
  <si>
    <t>622</t>
  </si>
  <si>
    <t>Depository Financial Intermediation</t>
  </si>
  <si>
    <t>623</t>
  </si>
  <si>
    <t>Non-Depository Financing</t>
  </si>
  <si>
    <t>624</t>
  </si>
  <si>
    <t>Financial Asset Investing</t>
  </si>
  <si>
    <t>63</t>
  </si>
  <si>
    <t>Insurance and Superannuation Funds</t>
  </si>
  <si>
    <t>630</t>
  </si>
  <si>
    <t>Insurance and Superannuation Funds, nfd</t>
  </si>
  <si>
    <t>631</t>
  </si>
  <si>
    <t>Life Insurance</t>
  </si>
  <si>
    <t>632</t>
  </si>
  <si>
    <t>Health and General Insurance</t>
  </si>
  <si>
    <t>633</t>
  </si>
  <si>
    <t>Superannuation Funds</t>
  </si>
  <si>
    <t>64</t>
  </si>
  <si>
    <t>Auxiliary Finance and Insurance Services</t>
  </si>
  <si>
    <t>640</t>
  </si>
  <si>
    <t>Auxiliary Finance and Insurance Services, nfd</t>
  </si>
  <si>
    <t>641</t>
  </si>
  <si>
    <t>Auxiliary Finance and Investment Services</t>
  </si>
  <si>
    <t>642</t>
  </si>
  <si>
    <t>Auxiliary Insurance Services</t>
  </si>
  <si>
    <t>K0</t>
  </si>
  <si>
    <t>Financial and Insurance Services, nfd</t>
  </si>
  <si>
    <t>K00</t>
  </si>
  <si>
    <t>L</t>
  </si>
  <si>
    <t>Rental, Hiring and Real Estate Services</t>
  </si>
  <si>
    <t>66</t>
  </si>
  <si>
    <t>Rental and Hiring Services (except Real Estate)</t>
  </si>
  <si>
    <t>660</t>
  </si>
  <si>
    <t>Rental and Hiring Services (except Real Estate), nfd</t>
  </si>
  <si>
    <t>661</t>
  </si>
  <si>
    <t>Motor Vehicle and Transport Equipment Rental and Hiring</t>
  </si>
  <si>
    <t>662</t>
  </si>
  <si>
    <t>Farm Animal and Bloodstock Leasing</t>
  </si>
  <si>
    <t>663</t>
  </si>
  <si>
    <t>Other Goods and Equipment Rental and Hiring</t>
  </si>
  <si>
    <t>664</t>
  </si>
  <si>
    <t>Non-Financial Intangible Assets (Except Copyrights) Leasing</t>
  </si>
  <si>
    <t>67</t>
  </si>
  <si>
    <t>Property Operators and Real Estate Services</t>
  </si>
  <si>
    <t>670</t>
  </si>
  <si>
    <t>Property Operators and Real Estate Services, nfd</t>
  </si>
  <si>
    <t>671</t>
  </si>
  <si>
    <t>Property Operators</t>
  </si>
  <si>
    <t>672</t>
  </si>
  <si>
    <t>Real Estate Services</t>
  </si>
  <si>
    <t>L0</t>
  </si>
  <si>
    <t>Rental, Hiring and Real Estate Services, nfd</t>
  </si>
  <si>
    <t>L00</t>
  </si>
  <si>
    <t>M</t>
  </si>
  <si>
    <t>Professional, Scientific and Technical Services</t>
  </si>
  <si>
    <t>69</t>
  </si>
  <si>
    <t>Professional, Scientific and Technical Services (Except Computer System Design and Related Services)</t>
  </si>
  <si>
    <t>690</t>
  </si>
  <si>
    <t>Professional, Scientific and Technical Services (Except Computer System Design and Related Services), nfd</t>
  </si>
  <si>
    <t>691</t>
  </si>
  <si>
    <t>Scientific Research Services</t>
  </si>
  <si>
    <t>692</t>
  </si>
  <si>
    <t>Architectural, Engineering and Technical Services</t>
  </si>
  <si>
    <t>693</t>
  </si>
  <si>
    <t>Legal and Accounting Services</t>
  </si>
  <si>
    <t>694</t>
  </si>
  <si>
    <t>Advertising Services</t>
  </si>
  <si>
    <t>695</t>
  </si>
  <si>
    <t>Market Research and Statistical Services</t>
  </si>
  <si>
    <t>696</t>
  </si>
  <si>
    <t>Management and Related Consulting Services</t>
  </si>
  <si>
    <t>697</t>
  </si>
  <si>
    <t>Veterinary Services</t>
  </si>
  <si>
    <t>699</t>
  </si>
  <si>
    <t>Other Professional, Scientific and Technical Services</t>
  </si>
  <si>
    <t>70</t>
  </si>
  <si>
    <t>Computer System Design and Related Services</t>
  </si>
  <si>
    <t>700</t>
  </si>
  <si>
    <t>M0</t>
  </si>
  <si>
    <t>Professional, Scientific and Technical Services, nfd</t>
  </si>
  <si>
    <t>M00</t>
  </si>
  <si>
    <t>N</t>
  </si>
  <si>
    <t>Administrative and Support Services</t>
  </si>
  <si>
    <t>72</t>
  </si>
  <si>
    <t>Administrative Services</t>
  </si>
  <si>
    <t>720</t>
  </si>
  <si>
    <t>Administrative Services, nfd</t>
  </si>
  <si>
    <t>721</t>
  </si>
  <si>
    <t>Employment Services</t>
  </si>
  <si>
    <t>722</t>
  </si>
  <si>
    <t>Travel Agency and Tour Arrangement Services</t>
  </si>
  <si>
    <t>729</t>
  </si>
  <si>
    <t>Other Administrative Services</t>
  </si>
  <si>
    <t>73</t>
  </si>
  <si>
    <t>Building Cleaning, Pest Control and Other Support Services</t>
  </si>
  <si>
    <t>730</t>
  </si>
  <si>
    <t>Building Cleaning, Pest Control and Other Support Services, nfd</t>
  </si>
  <si>
    <t>731</t>
  </si>
  <si>
    <t>Building Cleaning, Pest Control and Gardening Services</t>
  </si>
  <si>
    <t>732</t>
  </si>
  <si>
    <t>Packaging Services</t>
  </si>
  <si>
    <t>N0</t>
  </si>
  <si>
    <t>Administrative and Support Services, nfd</t>
  </si>
  <si>
    <t>N00</t>
  </si>
  <si>
    <t>O</t>
  </si>
  <si>
    <t>Public Administration and Safety</t>
  </si>
  <si>
    <t>75</t>
  </si>
  <si>
    <t>Public Administration</t>
  </si>
  <si>
    <t>750</t>
  </si>
  <si>
    <t>Public Administration, nfd</t>
  </si>
  <si>
    <t>751</t>
  </si>
  <si>
    <t>Central Government Administration</t>
  </si>
  <si>
    <t>752</t>
  </si>
  <si>
    <t>State Government Administration</t>
  </si>
  <si>
    <t>753</t>
  </si>
  <si>
    <t>Local Government Administration</t>
  </si>
  <si>
    <t>754</t>
  </si>
  <si>
    <t>Justice</t>
  </si>
  <si>
    <t>755</t>
  </si>
  <si>
    <t>Government Representation</t>
  </si>
  <si>
    <t>76</t>
  </si>
  <si>
    <t>Defence</t>
  </si>
  <si>
    <t>760</t>
  </si>
  <si>
    <t>77</t>
  </si>
  <si>
    <t>Public Order, Safety and Regulatory Services</t>
  </si>
  <si>
    <t>770</t>
  </si>
  <si>
    <t>Public Order, Safety and Regulatory Services, nfd</t>
  </si>
  <si>
    <t>771</t>
  </si>
  <si>
    <t>Public Order and Safety Services</t>
  </si>
  <si>
    <t>772</t>
  </si>
  <si>
    <t>Regulatory Services</t>
  </si>
  <si>
    <t>O0</t>
  </si>
  <si>
    <t>Public Administration and Safety, nfd</t>
  </si>
  <si>
    <t>O00</t>
  </si>
  <si>
    <t>P</t>
  </si>
  <si>
    <t>Education and Training</t>
  </si>
  <si>
    <t>80</t>
  </si>
  <si>
    <t>Preschool and School Education</t>
  </si>
  <si>
    <t>800</t>
  </si>
  <si>
    <t>Preschool and School Education, nfd</t>
  </si>
  <si>
    <t>801</t>
  </si>
  <si>
    <t>Preschool Education</t>
  </si>
  <si>
    <t>802</t>
  </si>
  <si>
    <t>School Education</t>
  </si>
  <si>
    <t>81</t>
  </si>
  <si>
    <t>Tertiary Education</t>
  </si>
  <si>
    <t>810</t>
  </si>
  <si>
    <t>82</t>
  </si>
  <si>
    <t>Adult, Community and Other Education</t>
  </si>
  <si>
    <t>820</t>
  </si>
  <si>
    <t>Adult, Community and Other Education, nfd</t>
  </si>
  <si>
    <t>821</t>
  </si>
  <si>
    <t>822</t>
  </si>
  <si>
    <t>Educational Support Services</t>
  </si>
  <si>
    <t>P0</t>
  </si>
  <si>
    <t>Education and Training, nfd</t>
  </si>
  <si>
    <t>P00</t>
  </si>
  <si>
    <t>Q</t>
  </si>
  <si>
    <t>Health Care and Social Assistance</t>
  </si>
  <si>
    <t>84</t>
  </si>
  <si>
    <t>Hospitals</t>
  </si>
  <si>
    <t>840</t>
  </si>
  <si>
    <t>85</t>
  </si>
  <si>
    <t>Medical and Other Health Care Services</t>
  </si>
  <si>
    <t>850</t>
  </si>
  <si>
    <t>Medical and Other Health Care Services, nfd</t>
  </si>
  <si>
    <t>851</t>
  </si>
  <si>
    <t>Medical Services</t>
  </si>
  <si>
    <t>852</t>
  </si>
  <si>
    <t>Pathology and Diagnostic Imaging Services</t>
  </si>
  <si>
    <t>853</t>
  </si>
  <si>
    <t>Allied Health Services</t>
  </si>
  <si>
    <t>859</t>
  </si>
  <si>
    <t>Other Health Care Services</t>
  </si>
  <si>
    <t>86</t>
  </si>
  <si>
    <t>Residential Care Services</t>
  </si>
  <si>
    <t>860</t>
  </si>
  <si>
    <t>87</t>
  </si>
  <si>
    <t>Social Assistance Services</t>
  </si>
  <si>
    <t>870</t>
  </si>
  <si>
    <t>Social Assistance Services, nfd</t>
  </si>
  <si>
    <t>871</t>
  </si>
  <si>
    <t>Child Care Services</t>
  </si>
  <si>
    <t>879</t>
  </si>
  <si>
    <t>Other Social Assistance Services</t>
  </si>
  <si>
    <t>Q0</t>
  </si>
  <si>
    <t>Health Care and Social Assistance, nfd</t>
  </si>
  <si>
    <t>Q00</t>
  </si>
  <si>
    <t>R</t>
  </si>
  <si>
    <t>Arts and Recreation Services</t>
  </si>
  <si>
    <t>89</t>
  </si>
  <si>
    <t>Heritage Activities</t>
  </si>
  <si>
    <t>890</t>
  </si>
  <si>
    <t>Heritage Activities, nfd</t>
  </si>
  <si>
    <t>891</t>
  </si>
  <si>
    <t>Museum Operation</t>
  </si>
  <si>
    <t>892</t>
  </si>
  <si>
    <t>Parks and Gardens Operations</t>
  </si>
  <si>
    <t>90</t>
  </si>
  <si>
    <t>Creative and Performing Arts Activities</t>
  </si>
  <si>
    <t>900</t>
  </si>
  <si>
    <t>91</t>
  </si>
  <si>
    <t>Sports and Recreation Activities</t>
  </si>
  <si>
    <t>910</t>
  </si>
  <si>
    <t>Sports and Recreation Activities, nfd</t>
  </si>
  <si>
    <t>911</t>
  </si>
  <si>
    <t>Sports and Physical Recreation Activities</t>
  </si>
  <si>
    <t>912</t>
  </si>
  <si>
    <t>Horse and Dog Racing Activities</t>
  </si>
  <si>
    <t>913</t>
  </si>
  <si>
    <t>Amusement and Other Recreation Activities</t>
  </si>
  <si>
    <t>92</t>
  </si>
  <si>
    <t>Gambling Activities</t>
  </si>
  <si>
    <t>920</t>
  </si>
  <si>
    <t>R0</t>
  </si>
  <si>
    <t>Arts and Recreation Services, nfd</t>
  </si>
  <si>
    <t>R00</t>
  </si>
  <si>
    <t>S</t>
  </si>
  <si>
    <t>Other Services</t>
  </si>
  <si>
    <t>94</t>
  </si>
  <si>
    <t>Repair and Maintenance</t>
  </si>
  <si>
    <t>940</t>
  </si>
  <si>
    <t>Repair and Maintenance, nfd</t>
  </si>
  <si>
    <t>941</t>
  </si>
  <si>
    <t>Automotive Repair and Maintenance</t>
  </si>
  <si>
    <t>942</t>
  </si>
  <si>
    <t>Machinery and Equipment Repair and Maintenance</t>
  </si>
  <si>
    <t>949</t>
  </si>
  <si>
    <t>Other Repair and Maintenance</t>
  </si>
  <si>
    <t>95</t>
  </si>
  <si>
    <t>Personal and Other Services</t>
  </si>
  <si>
    <t>950</t>
  </si>
  <si>
    <t>Personal and Other Services, nfd</t>
  </si>
  <si>
    <t>951</t>
  </si>
  <si>
    <t>Personal Care Services</t>
  </si>
  <si>
    <t>952</t>
  </si>
  <si>
    <t>Funeral, Crematorium and Cemetery Services</t>
  </si>
  <si>
    <t>953</t>
  </si>
  <si>
    <t>Other Personal Services</t>
  </si>
  <si>
    <t>954</t>
  </si>
  <si>
    <t>Religious Services</t>
  </si>
  <si>
    <t>955</t>
  </si>
  <si>
    <t>Civic, Professional and Other Interest Group Services</t>
  </si>
  <si>
    <t>96</t>
  </si>
  <si>
    <t>Private Households Employing Staff and Undifferentiated Goods and Service-Producing Activities of Households for Own Use</t>
  </si>
  <si>
    <t>960</t>
  </si>
  <si>
    <t>S0</t>
  </si>
  <si>
    <t>Other Services, nfd</t>
  </si>
  <si>
    <t>S00</t>
  </si>
  <si>
    <t>-</t>
  </si>
  <si>
    <t>ALL INDUSTRIES</t>
  </si>
  <si>
    <t xml:space="preserve">    Industry </t>
  </si>
  <si>
    <t>ANZSIC 06 Code</t>
  </si>
  <si>
    <t>1 digit List Fill Range:</t>
  </si>
  <si>
    <t>Selected Industry:</t>
  </si>
  <si>
    <t>1 to 3 digit List Fill Ranges:</t>
  </si>
  <si>
    <t>2 to 3 digit List Fill Ranges:</t>
  </si>
  <si>
    <t>&lt;Whole industry&gt;</t>
  </si>
  <si>
    <t>&lt;One subsector only - no selection available&gt;</t>
  </si>
  <si>
    <t>2 digit List Fill Ranges:</t>
  </si>
  <si>
    <t>&lt;End&gt;</t>
  </si>
  <si>
    <t>Employment level times series and projection:</t>
  </si>
  <si>
    <t>Projection date:</t>
  </si>
  <si>
    <t>Sector data source range:</t>
  </si>
  <si>
    <t>Emp level</t>
  </si>
  <si>
    <t>Historical 5 year growth ('000s)</t>
  </si>
  <si>
    <t>Historical 5 year growth (%)</t>
  </si>
  <si>
    <t>Projected 5 year growth ('000s)</t>
  </si>
  <si>
    <t>Projected 5 year growth (%)</t>
  </si>
  <si>
    <t>Sector data sort and plot range:</t>
  </si>
  <si>
    <t>&lt;Emp level 5 years previous&gt;</t>
  </si>
  <si>
    <t>Employment levels chart title:</t>
  </si>
  <si>
    <t xml:space="preserve">  Select chart type:</t>
  </si>
  <si>
    <t xml:space="preserve">  Select industry:</t>
  </si>
  <si>
    <t>DEEWR Trend Data date:</t>
  </si>
  <si>
    <t>('000)</t>
  </si>
  <si>
    <t>(%)</t>
  </si>
  <si>
    <t>NOTE: Do not change the format of these headers</t>
  </si>
  <si>
    <t>Dept Employment Projections 2019</t>
  </si>
  <si>
    <t>Projected five year employment growth to May 2024</t>
  </si>
  <si>
    <t>Projected employment level - May 2024 ('000)</t>
  </si>
  <si>
    <t>Employment level - May 2019 ('000)</t>
  </si>
  <si>
    <t xml:space="preserve"> Past and Future Employment Levels and Growth - National Skills Commission Seasonally Adjusted Data and Projections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</si>
</sst>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mmmm\ yyyy"/>
    <numFmt numFmtId="166" formatCode="mmm\ yyyy"/>
  </numFmts>
  <fonts count="5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1"/>
      <color indexed="18"/>
      <name val="Arial"/>
      <family val="2"/>
    </font>
    <font>
      <b/>
      <i/>
      <sz val="10"/>
      <name val="Arial"/>
      <family val="2"/>
    </font>
    <font>
      <b/>
      <sz val="11"/>
      <color indexed="16"/>
      <name val="Arial"/>
      <family val="2"/>
    </font>
    <font>
      <sz val="10"/>
      <color indexed="16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11"/>
      <color indexed="8"/>
      <name val="Calibri"/>
      <family val="2"/>
    </font>
    <font>
      <b/>
      <sz val="16"/>
      <color indexed="9"/>
      <name val="Calibri"/>
      <family val="2"/>
    </font>
    <font>
      <b/>
      <sz val="11"/>
      <color indexed="1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color rgb="FF9C0006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rgb="FF7F7F7F"/>
      <name val="Calibri"/>
      <family val="2"/>
      <scheme val="minor"/>
    </font>
    <font>
      <i/>
      <sz val="10"/>
      <color rgb="FF7F7F7F"/>
      <name val="Arial"/>
      <family val="2"/>
    </font>
    <font>
      <sz val="11"/>
      <color rgb="FF006100"/>
      <name val="Calibri"/>
      <family val="2"/>
      <scheme val="minor"/>
    </font>
    <font>
      <sz val="10"/>
      <color rgb="FF006100"/>
      <name val="Arial"/>
      <family val="2"/>
    </font>
    <font>
      <b/>
      <sz val="15"/>
      <color theme="3"/>
      <name val="Calibri"/>
      <family val="2"/>
      <scheme val="minor"/>
    </font>
    <font>
      <b/>
      <sz val="15"/>
      <color theme="3"/>
      <name val="Arial"/>
      <family val="2"/>
    </font>
    <font>
      <b/>
      <sz val="13"/>
      <color theme="3"/>
      <name val="Calibri"/>
      <family val="2"/>
      <scheme val="minor"/>
    </font>
    <font>
      <b/>
      <sz val="13"/>
      <color theme="3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3"/>
      <name val="Arial"/>
      <family val="2"/>
    </font>
    <font>
      <sz val="11"/>
      <color rgb="FF3F3F76"/>
      <name val="Calibri"/>
      <family val="2"/>
      <scheme val="minor"/>
    </font>
    <font>
      <sz val="10"/>
      <color rgb="FF3F3F76"/>
      <name val="Arial"/>
      <family val="2"/>
    </font>
    <font>
      <sz val="11"/>
      <color rgb="FFFA7D00"/>
      <name val="Calibri"/>
      <family val="2"/>
      <scheme val="minor"/>
    </font>
    <font>
      <sz val="10"/>
      <color rgb="FFFA7D00"/>
      <name val="Arial"/>
      <family val="2"/>
    </font>
    <font>
      <sz val="11"/>
      <color rgb="FF9C6500"/>
      <name val="Calibri"/>
      <family val="2"/>
      <scheme val="minor"/>
    </font>
    <font>
      <sz val="10"/>
      <color rgb="FF9C6500"/>
      <name val="Arial"/>
      <family val="2"/>
    </font>
    <font>
      <b/>
      <sz val="11"/>
      <color rgb="FF3F3F3F"/>
      <name val="Calibri"/>
      <family val="2"/>
      <scheme val="minor"/>
    </font>
    <font>
      <b/>
      <sz val="10"/>
      <color rgb="FF3F3F3F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5">
    <xf numFmtId="0" fontId="0" fillId="0" borderId="0"/>
    <xf numFmtId="0" fontId="21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0" fillId="9" borderId="0" applyNumberFormat="0" applyBorder="0" applyAlignment="0" applyProtection="0"/>
    <xf numFmtId="0" fontId="21" fillId="10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20" fillId="15" borderId="0" applyNumberFormat="0" applyBorder="0" applyAlignment="0" applyProtection="0"/>
    <xf numFmtId="0" fontId="21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20" fillId="17" borderId="0" applyNumberFormat="0" applyBorder="0" applyAlignment="0" applyProtection="0"/>
    <xf numFmtId="0" fontId="23" fillId="18" borderId="0" applyNumberFormat="0" applyBorder="0" applyAlignment="0" applyProtection="0"/>
    <xf numFmtId="0" fontId="22" fillId="18" borderId="0" applyNumberFormat="0" applyBorder="0" applyAlignment="0" applyProtection="0"/>
    <xf numFmtId="0" fontId="23" fillId="19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2" fillId="21" borderId="0" applyNumberFormat="0" applyBorder="0" applyAlignment="0" applyProtection="0"/>
    <xf numFmtId="0" fontId="23" fillId="22" borderId="0" applyNumberFormat="0" applyBorder="0" applyAlignment="0" applyProtection="0"/>
    <xf numFmtId="0" fontId="22" fillId="22" borderId="0" applyNumberFormat="0" applyBorder="0" applyAlignment="0" applyProtection="0"/>
    <xf numFmtId="0" fontId="23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23" fillId="24" borderId="0" applyNumberFormat="0" applyBorder="0" applyAlignment="0" applyProtection="0"/>
    <xf numFmtId="0" fontId="22" fillId="24" borderId="0" applyNumberFormat="0" applyBorder="0" applyAlignment="0" applyProtection="0"/>
    <xf numFmtId="0" fontId="23" fillId="25" borderId="0" applyNumberFormat="0" applyBorder="0" applyAlignment="0" applyProtection="0"/>
    <xf numFmtId="0" fontId="22" fillId="25" borderId="0" applyNumberFormat="0" applyBorder="0" applyAlignment="0" applyProtection="0"/>
    <xf numFmtId="0" fontId="23" fillId="26" borderId="0" applyNumberFormat="0" applyBorder="0" applyAlignment="0" applyProtection="0"/>
    <xf numFmtId="0" fontId="22" fillId="26" borderId="0" applyNumberFormat="0" applyBorder="0" applyAlignment="0" applyProtection="0"/>
    <xf numFmtId="0" fontId="23" fillId="27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23" fillId="28" borderId="0" applyNumberFormat="0" applyBorder="0" applyAlignment="0" applyProtection="0"/>
    <xf numFmtId="0" fontId="22" fillId="28" borderId="0" applyNumberFormat="0" applyBorder="0" applyAlignment="0" applyProtection="0"/>
    <xf numFmtId="0" fontId="23" fillId="29" borderId="0" applyNumberFormat="0" applyBorder="0" applyAlignment="0" applyProtection="0"/>
    <xf numFmtId="0" fontId="22" fillId="29" borderId="0" applyNumberFormat="0" applyBorder="0" applyAlignment="0" applyProtection="0"/>
    <xf numFmtId="0" fontId="25" fillId="30" borderId="0" applyNumberFormat="0" applyBorder="0" applyAlignment="0" applyProtection="0"/>
    <xf numFmtId="0" fontId="24" fillId="30" borderId="0" applyNumberFormat="0" applyBorder="0" applyAlignment="0" applyProtection="0"/>
    <xf numFmtId="0" fontId="27" fillId="31" borderId="12" applyNumberFormat="0" applyAlignment="0" applyProtection="0"/>
    <xf numFmtId="0" fontId="26" fillId="31" borderId="12" applyNumberFormat="0" applyAlignment="0" applyProtection="0"/>
    <xf numFmtId="0" fontId="29" fillId="32" borderId="13" applyNumberFormat="0" applyAlignment="0" applyProtection="0"/>
    <xf numFmtId="0" fontId="28" fillId="32" borderId="13" applyNumberForma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3" fillId="33" borderId="0" applyNumberFormat="0" applyBorder="0" applyAlignment="0" applyProtection="0"/>
    <xf numFmtId="0" fontId="32" fillId="33" borderId="0" applyNumberFormat="0" applyBorder="0" applyAlignment="0" applyProtection="0"/>
    <xf numFmtId="0" fontId="35" fillId="0" borderId="14" applyNumberFormat="0" applyFill="0" applyAlignment="0" applyProtection="0"/>
    <xf numFmtId="0" fontId="34" fillId="0" borderId="14" applyNumberFormat="0" applyFill="0" applyAlignment="0" applyProtection="0"/>
    <xf numFmtId="0" fontId="37" fillId="0" borderId="15" applyNumberFormat="0" applyFill="0" applyAlignment="0" applyProtection="0"/>
    <xf numFmtId="0" fontId="36" fillId="0" borderId="15" applyNumberFormat="0" applyFill="0" applyAlignment="0" applyProtection="0"/>
    <xf numFmtId="0" fontId="39" fillId="0" borderId="16" applyNumberFormat="0" applyFill="0" applyAlignment="0" applyProtection="0"/>
    <xf numFmtId="0" fontId="38" fillId="0" borderId="16" applyNumberFormat="0" applyFill="0" applyAlignment="0" applyProtection="0"/>
    <xf numFmtId="0" fontId="39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41" fillId="34" borderId="12" applyNumberFormat="0" applyAlignment="0" applyProtection="0"/>
    <xf numFmtId="0" fontId="40" fillId="34" borderId="12" applyNumberFormat="0" applyAlignment="0" applyProtection="0"/>
    <xf numFmtId="0" fontId="43" fillId="0" borderId="17" applyNumberFormat="0" applyFill="0" applyAlignment="0" applyProtection="0"/>
    <xf numFmtId="0" fontId="42" fillId="0" borderId="17" applyNumberFormat="0" applyFill="0" applyAlignment="0" applyProtection="0"/>
    <xf numFmtId="0" fontId="45" fillId="35" borderId="0" applyNumberFormat="0" applyBorder="0" applyAlignment="0" applyProtection="0"/>
    <xf numFmtId="0" fontId="44" fillId="35" borderId="0" applyNumberFormat="0" applyBorder="0" applyAlignment="0" applyProtection="0"/>
    <xf numFmtId="0" fontId="2" fillId="0" borderId="0"/>
    <xf numFmtId="0" fontId="21" fillId="0" borderId="0"/>
    <xf numFmtId="0" fontId="19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36" borderId="18" applyNumberFormat="0" applyFont="0" applyAlignment="0" applyProtection="0"/>
    <xf numFmtId="0" fontId="12" fillId="36" borderId="18" applyNumberFormat="0" applyFont="0" applyAlignment="0" applyProtection="0"/>
    <xf numFmtId="0" fontId="21" fillId="36" borderId="18" applyNumberFormat="0" applyFont="0" applyAlignment="0" applyProtection="0"/>
    <xf numFmtId="0" fontId="10" fillId="36" borderId="18" applyNumberFormat="0" applyFont="0" applyAlignment="0" applyProtection="0"/>
    <xf numFmtId="0" fontId="11" fillId="36" borderId="18" applyNumberFormat="0" applyFont="0" applyAlignment="0" applyProtection="0"/>
    <xf numFmtId="0" fontId="20" fillId="36" borderId="18" applyNumberFormat="0" applyFont="0" applyAlignment="0" applyProtection="0"/>
    <xf numFmtId="0" fontId="1" fillId="36" borderId="18" applyNumberFormat="0" applyFont="0" applyAlignment="0" applyProtection="0"/>
    <xf numFmtId="0" fontId="47" fillId="31" borderId="19" applyNumberFormat="0" applyAlignment="0" applyProtection="0"/>
    <xf numFmtId="0" fontId="46" fillId="31" borderId="19" applyNumberFormat="0" applyAlignment="0" applyProtection="0"/>
    <xf numFmtId="0" fontId="49" fillId="0" borderId="20" applyNumberFormat="0" applyFill="0" applyAlignment="0" applyProtection="0"/>
    <xf numFmtId="0" fontId="48" fillId="0" borderId="20" applyNumberFormat="0" applyFill="0" applyAlignment="0" applyProtection="0"/>
    <xf numFmtId="0" fontId="51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93">
    <xf numFmtId="0" fontId="0" fillId="0" borderId="0" xfId="0"/>
    <xf numFmtId="0" fontId="3" fillId="2" borderId="0" xfId="79" applyFont="1" applyFill="1" applyAlignment="1" applyProtection="1">
      <alignment horizontal="center" wrapText="1"/>
    </xf>
    <xf numFmtId="49" fontId="3" fillId="2" borderId="0" xfId="79" applyNumberFormat="1" applyFont="1" applyFill="1" applyAlignment="1" applyProtection="1">
      <alignment horizontal="center" wrapText="1"/>
    </xf>
    <xf numFmtId="0" fontId="2" fillId="0" borderId="0" xfId="79" applyAlignment="1" applyProtection="1"/>
    <xf numFmtId="0" fontId="4" fillId="0" borderId="0" xfId="79" applyFont="1" applyAlignment="1">
      <alignment horizontal="center"/>
    </xf>
    <xf numFmtId="49" fontId="4" fillId="0" borderId="0" xfId="79" applyNumberFormat="1" applyFont="1" applyAlignment="1">
      <alignment horizontal="center"/>
    </xf>
    <xf numFmtId="0" fontId="4" fillId="0" borderId="0" xfId="79" applyFont="1"/>
    <xf numFmtId="0" fontId="2" fillId="0" borderId="0" xfId="79" applyProtection="1"/>
    <xf numFmtId="0" fontId="5" fillId="0" borderId="0" xfId="79" applyFont="1" applyAlignment="1">
      <alignment horizontal="center"/>
    </xf>
    <xf numFmtId="49" fontId="5" fillId="0" borderId="0" xfId="79" applyNumberFormat="1" applyFont="1" applyAlignment="1">
      <alignment horizontal="center"/>
    </xf>
    <xf numFmtId="0" fontId="5" fillId="0" borderId="0" xfId="79" applyFont="1"/>
    <xf numFmtId="0" fontId="2" fillId="0" borderId="0" xfId="79" applyAlignment="1">
      <alignment horizontal="center"/>
    </xf>
    <xf numFmtId="49" fontId="2" fillId="0" borderId="0" xfId="79" applyNumberFormat="1" applyAlignment="1">
      <alignment horizontal="center"/>
    </xf>
    <xf numFmtId="0" fontId="2" fillId="0" borderId="0" xfId="79"/>
    <xf numFmtId="0" fontId="2" fillId="0" borderId="0" xfId="79" applyFont="1" applyAlignment="1">
      <alignment horizontal="center"/>
    </xf>
    <xf numFmtId="0" fontId="2" fillId="0" borderId="0" xfId="79" applyFont="1"/>
    <xf numFmtId="0" fontId="2" fillId="0" borderId="0" xfId="79" applyFont="1" applyProtection="1"/>
    <xf numFmtId="0" fontId="6" fillId="0" borderId="0" xfId="79" applyFont="1" applyBorder="1" applyAlignment="1" applyProtection="1">
      <alignment horizontal="center"/>
    </xf>
    <xf numFmtId="49" fontId="6" fillId="0" borderId="0" xfId="79" applyNumberFormat="1" applyFont="1" applyBorder="1" applyAlignment="1" applyProtection="1">
      <alignment horizontal="center"/>
    </xf>
    <xf numFmtId="0" fontId="6" fillId="0" borderId="0" xfId="79" applyFont="1" applyBorder="1" applyProtection="1"/>
    <xf numFmtId="0" fontId="7" fillId="0" borderId="0" xfId="79" applyFont="1" applyProtection="1"/>
    <xf numFmtId="164" fontId="6" fillId="0" borderId="1" xfId="0" applyNumberFormat="1" applyFont="1" applyBorder="1" applyAlignment="1" applyProtection="1"/>
    <xf numFmtId="0" fontId="6" fillId="0" borderId="1" xfId="0" applyFont="1" applyBorder="1" applyProtection="1"/>
    <xf numFmtId="49" fontId="6" fillId="0" borderId="1" xfId="0" applyNumberFormat="1" applyFont="1" applyBorder="1" applyAlignment="1" applyProtection="1">
      <alignment horizontal="center"/>
    </xf>
    <xf numFmtId="0" fontId="6" fillId="0" borderId="2" xfId="0" applyFont="1" applyBorder="1" applyAlignment="1" applyProtection="1">
      <alignment horizontal="center"/>
    </xf>
    <xf numFmtId="164" fontId="12" fillId="0" borderId="3" xfId="0" applyNumberFormat="1" applyFont="1" applyBorder="1" applyProtection="1"/>
    <xf numFmtId="0" fontId="12" fillId="0" borderId="3" xfId="0" applyFont="1" applyBorder="1"/>
    <xf numFmtId="49" fontId="12" fillId="0" borderId="3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164" fontId="5" fillId="0" borderId="5" xfId="0" applyNumberFormat="1" applyFont="1" applyBorder="1" applyProtection="1"/>
    <xf numFmtId="0" fontId="5" fillId="0" borderId="5" xfId="0" applyFont="1" applyBorder="1"/>
    <xf numFmtId="4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64" fontId="12" fillId="0" borderId="5" xfId="0" applyNumberFormat="1" applyFont="1" applyBorder="1" applyProtection="1"/>
    <xf numFmtId="0" fontId="12" fillId="0" borderId="5" xfId="0" applyFont="1" applyBorder="1"/>
    <xf numFmtId="49" fontId="12" fillId="0" borderId="5" xfId="0" applyNumberFormat="1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64" fontId="14" fillId="0" borderId="7" xfId="0" applyNumberFormat="1" applyFont="1" applyBorder="1" applyProtection="1"/>
    <xf numFmtId="0" fontId="14" fillId="0" borderId="7" xfId="0" applyFont="1" applyBorder="1"/>
    <xf numFmtId="49" fontId="14" fillId="0" borderId="7" xfId="0" applyNumberFormat="1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164" fontId="2" fillId="0" borderId="5" xfId="0" applyNumberFormat="1" applyFont="1" applyBorder="1" applyProtection="1"/>
    <xf numFmtId="0" fontId="2" fillId="0" borderId="5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4" fontId="5" fillId="0" borderId="6" xfId="0" applyNumberFormat="1" applyFont="1" applyBorder="1" applyProtection="1"/>
    <xf numFmtId="164" fontId="12" fillId="0" borderId="6" xfId="0" applyNumberFormat="1" applyFont="1" applyBorder="1" applyProtection="1"/>
    <xf numFmtId="164" fontId="14" fillId="0" borderId="8" xfId="0" applyNumberFormat="1" applyFont="1" applyBorder="1" applyProtection="1"/>
    <xf numFmtId="164" fontId="12" fillId="0" borderId="4" xfId="0" applyNumberFormat="1" applyFont="1" applyBorder="1" applyProtection="1"/>
    <xf numFmtId="0" fontId="5" fillId="0" borderId="0" xfId="0" applyFont="1" applyBorder="1"/>
    <xf numFmtId="0" fontId="5" fillId="0" borderId="9" xfId="0" applyFont="1" applyBorder="1" applyAlignment="1">
      <alignment horizontal="center"/>
    </xf>
    <xf numFmtId="0" fontId="12" fillId="0" borderId="9" xfId="0" applyFont="1" applyBorder="1"/>
    <xf numFmtId="0" fontId="12" fillId="0" borderId="0" xfId="0" applyFont="1" applyBorder="1" applyAlignment="1">
      <alignment horizontal="center"/>
    </xf>
    <xf numFmtId="0" fontId="5" fillId="0" borderId="9" xfId="0" applyFont="1" applyBorder="1"/>
    <xf numFmtId="0" fontId="5" fillId="0" borderId="0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3" fillId="0" borderId="0" xfId="0" applyFont="1"/>
    <xf numFmtId="0" fontId="15" fillId="0" borderId="0" xfId="0" applyFont="1"/>
    <xf numFmtId="0" fontId="1" fillId="0" borderId="0" xfId="0" applyFont="1"/>
    <xf numFmtId="0" fontId="16" fillId="0" borderId="0" xfId="0" applyFont="1"/>
    <xf numFmtId="165" fontId="0" fillId="0" borderId="0" xfId="0" applyNumberForma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applyFont="1" applyAlignment="1"/>
    <xf numFmtId="166" fontId="0" fillId="3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0" borderId="0" xfId="0" applyFont="1" applyAlignment="1">
      <alignment horizontal="center"/>
    </xf>
    <xf numFmtId="0" fontId="0" fillId="4" borderId="0" xfId="0" applyFill="1"/>
    <xf numFmtId="164" fontId="0" fillId="4" borderId="0" xfId="0" applyNumberFormat="1" applyFill="1"/>
    <xf numFmtId="0" fontId="0" fillId="2" borderId="0" xfId="0" applyFill="1"/>
    <xf numFmtId="0" fontId="17" fillId="2" borderId="0" xfId="0" applyFont="1" applyFill="1"/>
    <xf numFmtId="165" fontId="0" fillId="0" borderId="0" xfId="0" applyNumberFormat="1"/>
    <xf numFmtId="0" fontId="18" fillId="2" borderId="0" xfId="0" applyFont="1" applyFill="1"/>
    <xf numFmtId="0" fontId="0" fillId="0" borderId="0" xfId="0" applyFont="1"/>
    <xf numFmtId="164" fontId="15" fillId="3" borderId="1" xfId="46" applyNumberFormat="1" applyFont="1" applyFill="1" applyBorder="1" applyAlignment="1" applyProtection="1">
      <alignment horizontal="center" vertical="center" wrapText="1"/>
    </xf>
    <xf numFmtId="0" fontId="28" fillId="2" borderId="0" xfId="0" applyFont="1" applyFill="1"/>
    <xf numFmtId="0" fontId="52" fillId="0" borderId="0" xfId="0" applyFont="1"/>
    <xf numFmtId="17" fontId="3" fillId="2" borderId="10" xfId="79" applyNumberFormat="1" applyFont="1" applyFill="1" applyBorder="1" applyAlignment="1" applyProtection="1">
      <alignment horizontal="center" wrapText="1"/>
    </xf>
    <xf numFmtId="164" fontId="4" fillId="0" borderId="0" xfId="79" applyNumberFormat="1" applyFont="1" applyProtection="1"/>
    <xf numFmtId="164" fontId="5" fillId="0" borderId="0" xfId="79" applyNumberFormat="1" applyFont="1" applyProtection="1"/>
    <xf numFmtId="164" fontId="2" fillId="0" borderId="0" xfId="79" applyNumberFormat="1" applyProtection="1"/>
    <xf numFmtId="164" fontId="2" fillId="0" borderId="0" xfId="79" applyNumberFormat="1" applyFont="1" applyProtection="1"/>
    <xf numFmtId="164" fontId="6" fillId="0" borderId="0" xfId="79" applyNumberFormat="1" applyFont="1" applyAlignment="1" applyProtection="1"/>
    <xf numFmtId="164" fontId="15" fillId="3" borderId="10" xfId="46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15" fillId="3" borderId="7" xfId="46" applyNumberFormat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7" fontId="53" fillId="0" borderId="7" xfId="37" applyNumberFormat="1" applyFont="1" applyFill="1" applyBorder="1" applyAlignment="1">
      <alignment horizontal="center" vertical="center" wrapText="1"/>
    </xf>
    <xf numFmtId="17" fontId="53" fillId="0" borderId="3" xfId="37" applyNumberFormat="1" applyFont="1" applyFill="1" applyBorder="1" applyAlignment="1">
      <alignment horizontal="center" vertical="center" wrapText="1"/>
    </xf>
    <xf numFmtId="17" fontId="53" fillId="37" borderId="7" xfId="37" applyNumberFormat="1" applyFont="1" applyFill="1" applyBorder="1" applyAlignment="1">
      <alignment horizontal="center" vertical="center" wrapText="1"/>
    </xf>
    <xf numFmtId="17" fontId="53" fillId="37" borderId="3" xfId="37" applyNumberFormat="1" applyFont="1" applyFill="1" applyBorder="1" applyAlignment="1">
      <alignment horizontal="center" vertical="center" wrapText="1"/>
    </xf>
    <xf numFmtId="17" fontId="15" fillId="5" borderId="7" xfId="37" applyNumberFormat="1" applyFont="1" applyFill="1" applyBorder="1" applyAlignment="1">
      <alignment horizontal="center" vertical="center" wrapText="1"/>
    </xf>
  </cellXfs>
  <cellStyles count="105">
    <cellStyle name="20% - Accent1 2" xfId="1" xr:uid="{00000000-0005-0000-0000-000000000000}"/>
    <cellStyle name="20% - Accent1 2 2" xfId="2" xr:uid="{00000000-0005-0000-0000-000001000000}"/>
    <cellStyle name="20% - Accent2 2" xfId="3" xr:uid="{00000000-0005-0000-0000-000002000000}"/>
    <cellStyle name="20% - Accent2 2 2" xfId="4" xr:uid="{00000000-0005-0000-0000-000003000000}"/>
    <cellStyle name="20% - Accent3 2" xfId="5" xr:uid="{00000000-0005-0000-0000-000004000000}"/>
    <cellStyle name="20% - Accent3 2 2" xfId="6" xr:uid="{00000000-0005-0000-0000-000005000000}"/>
    <cellStyle name="20% - Accent4 2" xfId="7" xr:uid="{00000000-0005-0000-0000-000006000000}"/>
    <cellStyle name="20% - Accent4 2 2" xfId="8" xr:uid="{00000000-0005-0000-0000-000007000000}"/>
    <cellStyle name="20% - Accent5 2" xfId="9" xr:uid="{00000000-0005-0000-0000-000008000000}"/>
    <cellStyle name="20% - Accent5 2 2" xfId="10" xr:uid="{00000000-0005-0000-0000-000009000000}"/>
    <cellStyle name="20% - Accent6 2" xfId="11" xr:uid="{00000000-0005-0000-0000-00000A000000}"/>
    <cellStyle name="20% - Accent6 2 2" xfId="12" xr:uid="{00000000-0005-0000-0000-00000B000000}"/>
    <cellStyle name="40% - Accent1 2" xfId="13" xr:uid="{00000000-0005-0000-0000-00000C000000}"/>
    <cellStyle name="40% - Accent1 2 2" xfId="14" xr:uid="{00000000-0005-0000-0000-00000D000000}"/>
    <cellStyle name="40% - Accent2 2" xfId="15" xr:uid="{00000000-0005-0000-0000-00000E000000}"/>
    <cellStyle name="40% - Accent2 2 2" xfId="16" xr:uid="{00000000-0005-0000-0000-00000F000000}"/>
    <cellStyle name="40% - Accent3 2" xfId="17" xr:uid="{00000000-0005-0000-0000-000010000000}"/>
    <cellStyle name="40% - Accent3 2 2" xfId="18" xr:uid="{00000000-0005-0000-0000-000011000000}"/>
    <cellStyle name="40% - Accent4 2" xfId="19" xr:uid="{00000000-0005-0000-0000-000012000000}"/>
    <cellStyle name="40% - Accent4 2 2" xfId="20" xr:uid="{00000000-0005-0000-0000-000013000000}"/>
    <cellStyle name="40% - Accent5 2" xfId="21" xr:uid="{00000000-0005-0000-0000-000014000000}"/>
    <cellStyle name="40% - Accent5 2 2" xfId="22" xr:uid="{00000000-0005-0000-0000-000015000000}"/>
    <cellStyle name="40% - Accent6 2" xfId="23" xr:uid="{00000000-0005-0000-0000-000016000000}"/>
    <cellStyle name="40% - Accent6 2 2" xfId="24" xr:uid="{00000000-0005-0000-0000-000017000000}"/>
    <cellStyle name="60% - Accent1 2" xfId="25" xr:uid="{00000000-0005-0000-0000-000018000000}"/>
    <cellStyle name="60% - Accent1 2 2" xfId="26" xr:uid="{00000000-0005-0000-0000-000019000000}"/>
    <cellStyle name="60% - Accent2 2" xfId="27" xr:uid="{00000000-0005-0000-0000-00001A000000}"/>
    <cellStyle name="60% - Accent2 2 2" xfId="28" xr:uid="{00000000-0005-0000-0000-00001B000000}"/>
    <cellStyle name="60% - Accent3 2" xfId="29" xr:uid="{00000000-0005-0000-0000-00001C000000}"/>
    <cellStyle name="60% - Accent3 2 2" xfId="30" xr:uid="{00000000-0005-0000-0000-00001D000000}"/>
    <cellStyle name="60% - Accent4 2" xfId="31" xr:uid="{00000000-0005-0000-0000-00001E000000}"/>
    <cellStyle name="60% - Accent4 2 2" xfId="32" xr:uid="{00000000-0005-0000-0000-00001F000000}"/>
    <cellStyle name="60% - Accent5 2" xfId="33" xr:uid="{00000000-0005-0000-0000-000020000000}"/>
    <cellStyle name="60% - Accent5 2 2" xfId="34" xr:uid="{00000000-0005-0000-0000-000021000000}"/>
    <cellStyle name="60% - Accent6 2" xfId="35" xr:uid="{00000000-0005-0000-0000-000022000000}"/>
    <cellStyle name="60% - Accent6 2 2" xfId="36" xr:uid="{00000000-0005-0000-0000-000023000000}"/>
    <cellStyle name="Accent1" xfId="37" builtinId="29"/>
    <cellStyle name="Accent1 2" xfId="38" xr:uid="{00000000-0005-0000-0000-000025000000}"/>
    <cellStyle name="Accent1 2 2" xfId="39" xr:uid="{00000000-0005-0000-0000-000026000000}"/>
    <cellStyle name="Accent2 2" xfId="40" xr:uid="{00000000-0005-0000-0000-000027000000}"/>
    <cellStyle name="Accent2 2 2" xfId="41" xr:uid="{00000000-0005-0000-0000-000028000000}"/>
    <cellStyle name="Accent3 2" xfId="42" xr:uid="{00000000-0005-0000-0000-000029000000}"/>
    <cellStyle name="Accent3 2 2" xfId="43" xr:uid="{00000000-0005-0000-0000-00002A000000}"/>
    <cellStyle name="Accent4 2" xfId="44" xr:uid="{00000000-0005-0000-0000-00002B000000}"/>
    <cellStyle name="Accent4 2 2" xfId="45" xr:uid="{00000000-0005-0000-0000-00002C000000}"/>
    <cellStyle name="Accent5" xfId="46" builtinId="45"/>
    <cellStyle name="Accent5 2" xfId="47" xr:uid="{00000000-0005-0000-0000-00002E000000}"/>
    <cellStyle name="Accent5 2 2" xfId="48" xr:uid="{00000000-0005-0000-0000-00002F000000}"/>
    <cellStyle name="Accent6 2" xfId="49" xr:uid="{00000000-0005-0000-0000-000030000000}"/>
    <cellStyle name="Accent6 2 2" xfId="50" xr:uid="{00000000-0005-0000-0000-000031000000}"/>
    <cellStyle name="Bad 2" xfId="51" xr:uid="{00000000-0005-0000-0000-000032000000}"/>
    <cellStyle name="Bad 2 2" xfId="52" xr:uid="{00000000-0005-0000-0000-000033000000}"/>
    <cellStyle name="Calculation 2" xfId="53" xr:uid="{00000000-0005-0000-0000-000034000000}"/>
    <cellStyle name="Calculation 2 2" xfId="54" xr:uid="{00000000-0005-0000-0000-000035000000}"/>
    <cellStyle name="Check Cell 2" xfId="55" xr:uid="{00000000-0005-0000-0000-000036000000}"/>
    <cellStyle name="Check Cell 2 2" xfId="56" xr:uid="{00000000-0005-0000-0000-000037000000}"/>
    <cellStyle name="Comma 2" xfId="57" xr:uid="{00000000-0005-0000-0000-000038000000}"/>
    <cellStyle name="Comma 2 2" xfId="58" xr:uid="{00000000-0005-0000-0000-000039000000}"/>
    <cellStyle name="Comma 2 3" xfId="59" xr:uid="{00000000-0005-0000-0000-00003A000000}"/>
    <cellStyle name="Explanatory Text 2" xfId="60" xr:uid="{00000000-0005-0000-0000-00003B000000}"/>
    <cellStyle name="Explanatory Text 2 2" xfId="61" xr:uid="{00000000-0005-0000-0000-00003C000000}"/>
    <cellStyle name="Good 2" xfId="62" xr:uid="{00000000-0005-0000-0000-00003D000000}"/>
    <cellStyle name="Good 2 2" xfId="63" xr:uid="{00000000-0005-0000-0000-00003E000000}"/>
    <cellStyle name="Heading 1 2" xfId="64" xr:uid="{00000000-0005-0000-0000-00003F000000}"/>
    <cellStyle name="Heading 1 2 2" xfId="65" xr:uid="{00000000-0005-0000-0000-000040000000}"/>
    <cellStyle name="Heading 2 2" xfId="66" xr:uid="{00000000-0005-0000-0000-000041000000}"/>
    <cellStyle name="Heading 2 2 2" xfId="67" xr:uid="{00000000-0005-0000-0000-000042000000}"/>
    <cellStyle name="Heading 3 2" xfId="68" xr:uid="{00000000-0005-0000-0000-000043000000}"/>
    <cellStyle name="Heading 3 2 2" xfId="69" xr:uid="{00000000-0005-0000-0000-000044000000}"/>
    <cellStyle name="Heading 4 2" xfId="70" xr:uid="{00000000-0005-0000-0000-000045000000}"/>
    <cellStyle name="Heading 4 2 2" xfId="71" xr:uid="{00000000-0005-0000-0000-000046000000}"/>
    <cellStyle name="Hyperlink 2" xfId="72" xr:uid="{00000000-0005-0000-0000-000047000000}"/>
    <cellStyle name="Input 2" xfId="73" xr:uid="{00000000-0005-0000-0000-000048000000}"/>
    <cellStyle name="Input 2 2" xfId="74" xr:uid="{00000000-0005-0000-0000-000049000000}"/>
    <cellStyle name="Linked Cell 2" xfId="75" xr:uid="{00000000-0005-0000-0000-00004A000000}"/>
    <cellStyle name="Linked Cell 2 2" xfId="76" xr:uid="{00000000-0005-0000-0000-00004B000000}"/>
    <cellStyle name="Neutral 2" xfId="77" xr:uid="{00000000-0005-0000-0000-00004C000000}"/>
    <cellStyle name="Neutral 2 2" xfId="78" xr:uid="{00000000-0005-0000-0000-00004D000000}"/>
    <cellStyle name="Normal" xfId="0" builtinId="0"/>
    <cellStyle name="Normal 2" xfId="79" xr:uid="{00000000-0005-0000-0000-00004F000000}"/>
    <cellStyle name="Normal 2 2" xfId="80" xr:uid="{00000000-0005-0000-0000-000050000000}"/>
    <cellStyle name="Normal 2 3" xfId="81" xr:uid="{00000000-0005-0000-0000-000051000000}"/>
    <cellStyle name="Normal 3" xfId="82" xr:uid="{00000000-0005-0000-0000-000052000000}"/>
    <cellStyle name="Normal 3 2" xfId="83" xr:uid="{00000000-0005-0000-0000-000053000000}"/>
    <cellStyle name="Normal 3 3" xfId="84" xr:uid="{00000000-0005-0000-0000-000054000000}"/>
    <cellStyle name="Normal 3 4" xfId="85" xr:uid="{00000000-0005-0000-0000-000055000000}"/>
    <cellStyle name="Normal 4" xfId="86" xr:uid="{00000000-0005-0000-0000-000056000000}"/>
    <cellStyle name="Normal 4 2" xfId="87" xr:uid="{00000000-0005-0000-0000-000057000000}"/>
    <cellStyle name="Normal 4 2 2" xfId="88" xr:uid="{00000000-0005-0000-0000-000058000000}"/>
    <cellStyle name="Normal 4 2 3" xfId="89" xr:uid="{00000000-0005-0000-0000-000059000000}"/>
    <cellStyle name="Normal 4 2 3 2" xfId="90" xr:uid="{00000000-0005-0000-0000-00005A000000}"/>
    <cellStyle name="Normal 4 3" xfId="91" xr:uid="{00000000-0005-0000-0000-00005B000000}"/>
    <cellStyle name="Note 2" xfId="92" xr:uid="{00000000-0005-0000-0000-00005C000000}"/>
    <cellStyle name="Note 2 2" xfId="93" xr:uid="{00000000-0005-0000-0000-00005D000000}"/>
    <cellStyle name="Note 2 2 2" xfId="94" xr:uid="{00000000-0005-0000-0000-00005E000000}"/>
    <cellStyle name="Note 3" xfId="95" xr:uid="{00000000-0005-0000-0000-00005F000000}"/>
    <cellStyle name="Note 3 2" xfId="96" xr:uid="{00000000-0005-0000-0000-000060000000}"/>
    <cellStyle name="Note 3 2 2" xfId="97" xr:uid="{00000000-0005-0000-0000-000061000000}"/>
    <cellStyle name="Note 3 3" xfId="98" xr:uid="{00000000-0005-0000-0000-000062000000}"/>
    <cellStyle name="Output 2" xfId="99" xr:uid="{00000000-0005-0000-0000-000063000000}"/>
    <cellStyle name="Output 2 2" xfId="100" xr:uid="{00000000-0005-0000-0000-000064000000}"/>
    <cellStyle name="Total 2" xfId="101" xr:uid="{00000000-0005-0000-0000-000065000000}"/>
    <cellStyle name="Total 2 2" xfId="102" xr:uid="{00000000-0005-0000-0000-000066000000}"/>
    <cellStyle name="Warning Text 2" xfId="103" xr:uid="{00000000-0005-0000-0000-000067000000}"/>
    <cellStyle name="Warning Text 2 2" xfId="104" xr:uid="{00000000-0005-0000-0000-00006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Calc!$A$34</c:f>
          <c:strCache>
            <c:ptCount val="1"/>
            <c:pt idx="0">
              <c:v>Past and future employment levels - ALL INDUSTRIES</c:v>
            </c:pt>
          </c:strCache>
        </c:strRef>
      </c:tx>
      <c:overlay val="1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62921348314607E-2"/>
          <c:y val="0.12649572649572649"/>
          <c:w val="0.90112359550561794"/>
          <c:h val="0.733333333333333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Calc!$A$26</c:f>
              <c:strCache>
                <c:ptCount val="1"/>
                <c:pt idx="0">
                  <c:v>ALL INDUSTRIES</c:v>
                </c:pt>
              </c:strCache>
            </c:strRef>
          </c:tx>
          <c:spPr>
            <a:solidFill>
              <a:srgbClr val="333399"/>
            </a:solidFill>
            <a:ln w="25400">
              <a:noFill/>
            </a:ln>
          </c:spPr>
          <c:invertIfNegative val="0"/>
          <c:dPt>
            <c:idx val="16"/>
            <c:invertIfNegative val="0"/>
            <c:bubble3D val="0"/>
            <c:spPr>
              <a:solidFill>
                <a:srgbClr val="800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7C65-44CD-A696-24F41AC10F5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Calc!$A$358:$Q$358</c:f>
              <c:strCache>
                <c:ptCount val="17"/>
                <c:pt idx="0">
                  <c:v>May 2005</c:v>
                </c:pt>
                <c:pt idx="1">
                  <c:v>May 2006</c:v>
                </c:pt>
                <c:pt idx="2">
                  <c:v>May 2007</c:v>
                </c:pt>
                <c:pt idx="3">
                  <c:v>May 2008</c:v>
                </c:pt>
                <c:pt idx="4">
                  <c:v>May 2009</c:v>
                </c:pt>
                <c:pt idx="5">
                  <c:v>May 2010</c:v>
                </c:pt>
                <c:pt idx="6">
                  <c:v>May 2011</c:v>
                </c:pt>
                <c:pt idx="7">
                  <c:v>May 2012</c:v>
                </c:pt>
                <c:pt idx="8">
                  <c:v>May 2013</c:v>
                </c:pt>
                <c:pt idx="9">
                  <c:v>May 2014</c:v>
                </c:pt>
                <c:pt idx="10">
                  <c:v>May 2015</c:v>
                </c:pt>
                <c:pt idx="11">
                  <c:v>May 2016</c:v>
                </c:pt>
                <c:pt idx="12">
                  <c:v>May 2017</c:v>
                </c:pt>
                <c:pt idx="13">
                  <c:v>May 2018</c:v>
                </c:pt>
                <c:pt idx="14">
                  <c:v>May 2019</c:v>
                </c:pt>
                <c:pt idx="15">
                  <c:v>May 2020</c:v>
                </c:pt>
                <c:pt idx="16">
                  <c:v>Proj May 2024</c:v>
                </c:pt>
              </c:strCache>
            </c:strRef>
          </c:cat>
          <c:val>
            <c:numRef>
              <c:f>Calc!$A$359:$Q$359</c:f>
              <c:numCache>
                <c:formatCode>0.0</c:formatCode>
                <c:ptCount val="17"/>
                <c:pt idx="0">
                  <c:v>9834.0712812000002</c:v>
                </c:pt>
                <c:pt idx="1">
                  <c:v>10061.3775597</c:v>
                </c:pt>
                <c:pt idx="2">
                  <c:v>10390.563485999999</c:v>
                </c:pt>
                <c:pt idx="3">
                  <c:v>10663.838618399999</c:v>
                </c:pt>
                <c:pt idx="4">
                  <c:v>10760.102002199999</c:v>
                </c:pt>
                <c:pt idx="5">
                  <c:v>10926.1306804</c:v>
                </c:pt>
                <c:pt idx="6">
                  <c:v>11160.725986900001</c:v>
                </c:pt>
                <c:pt idx="7">
                  <c:v>11355.611943</c:v>
                </c:pt>
                <c:pt idx="8">
                  <c:v>11451.2633102</c:v>
                </c:pt>
                <c:pt idx="9">
                  <c:v>11509.0390702</c:v>
                </c:pt>
                <c:pt idx="10">
                  <c:v>11736.5519539</c:v>
                </c:pt>
                <c:pt idx="11">
                  <c:v>11952.737236000001</c:v>
                </c:pt>
                <c:pt idx="12">
                  <c:v>12212.8524765</c:v>
                </c:pt>
                <c:pt idx="13">
                  <c:v>12528.7398292</c:v>
                </c:pt>
                <c:pt idx="14">
                  <c:v>12874.5597432</c:v>
                </c:pt>
                <c:pt idx="15">
                  <c:v>12184.128501699999</c:v>
                </c:pt>
                <c:pt idx="16">
                  <c:v>13954.6754106565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65-44CD-A696-24F41AC10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1190304"/>
        <c:axId val="1"/>
      </c:barChart>
      <c:catAx>
        <c:axId val="461190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Employment level ('000s)</a:t>
                </a:r>
              </a:p>
            </c:rich>
          </c:tx>
          <c:layout>
            <c:manualLayout>
              <c:xMode val="edge"/>
              <c:yMode val="edge"/>
              <c:x val="5.2434456928838948E-4"/>
              <c:y val="0.32606429324539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119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Projected five year employment change by sector - ALL INDUSTRIES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971181692176117"/>
          <c:y val="0.11623931623931624"/>
          <c:w val="0.69656905246394762"/>
          <c:h val="0.779487179487179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Calc!$A$26</c:f>
              <c:strCache>
                <c:ptCount val="1"/>
                <c:pt idx="0">
                  <c:v>ALL INDUSTRIES</c:v>
                </c:pt>
              </c:strCache>
            </c:strRef>
          </c:tx>
          <c:spPr>
            <a:solidFill>
              <a:srgbClr val="333399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Calc!$I$363:$I$381</c:f>
              <c:strCache>
                <c:ptCount val="19"/>
                <c:pt idx="0">
                  <c:v>Agriculture, Forestry and Fishing</c:v>
                </c:pt>
                <c:pt idx="1">
                  <c:v>Manufacturing</c:v>
                </c:pt>
                <c:pt idx="2">
                  <c:v>Information Media and Telecommunications</c:v>
                </c:pt>
                <c:pt idx="3">
                  <c:v>Electricity, Gas, Water and Waste Services</c:v>
                </c:pt>
                <c:pt idx="4">
                  <c:v>Wholesale Trade</c:v>
                </c:pt>
                <c:pt idx="5">
                  <c:v>Rental, Hiring and Real Estate Services</c:v>
                </c:pt>
                <c:pt idx="6">
                  <c:v>Mining</c:v>
                </c:pt>
                <c:pt idx="7">
                  <c:v>Financial and Insurance Services</c:v>
                </c:pt>
                <c:pt idx="8">
                  <c:v>Arts and Recreation Services</c:v>
                </c:pt>
                <c:pt idx="9">
                  <c:v>Administrative and Support Services</c:v>
                </c:pt>
                <c:pt idx="10">
                  <c:v>Other Services</c:v>
                </c:pt>
                <c:pt idx="11">
                  <c:v>Transport, Postal and Warehousing</c:v>
                </c:pt>
                <c:pt idx="12">
                  <c:v>Public Administration and Safety</c:v>
                </c:pt>
                <c:pt idx="13">
                  <c:v>Retail Trade</c:v>
                </c:pt>
                <c:pt idx="14">
                  <c:v>Accommodation and Food Services</c:v>
                </c:pt>
                <c:pt idx="15">
                  <c:v>Construction</c:v>
                </c:pt>
                <c:pt idx="16">
                  <c:v>Education and Training</c:v>
                </c:pt>
                <c:pt idx="17">
                  <c:v>Professional, Scientific and Technical Services</c:v>
                </c:pt>
                <c:pt idx="18">
                  <c:v>Health Care and Social Assistance</c:v>
                </c:pt>
              </c:strCache>
            </c:strRef>
          </c:cat>
          <c:val>
            <c:numRef>
              <c:f>Calc!$J$363:$J$381</c:f>
              <c:numCache>
                <c:formatCode>0.0</c:formatCode>
                <c:ptCount val="19"/>
                <c:pt idx="0">
                  <c:v>-3.8307666625032084</c:v>
                </c:pt>
                <c:pt idx="1">
                  <c:v>-3.4079496903302697</c:v>
                </c:pt>
                <c:pt idx="2">
                  <c:v>-0.5815997302208018</c:v>
                </c:pt>
                <c:pt idx="3">
                  <c:v>6.8042005979082489</c:v>
                </c:pt>
                <c:pt idx="4">
                  <c:v>10.428092777178563</c:v>
                </c:pt>
                <c:pt idx="5">
                  <c:v>12.313080475342929</c:v>
                </c:pt>
                <c:pt idx="6">
                  <c:v>15.413032355088887</c:v>
                </c:pt>
                <c:pt idx="7">
                  <c:v>20.39697798346009</c:v>
                </c:pt>
                <c:pt idx="8">
                  <c:v>26.696919402043363</c:v>
                </c:pt>
                <c:pt idx="9">
                  <c:v>34.793072913416836</c:v>
                </c:pt>
                <c:pt idx="10">
                  <c:v>38.360541694115682</c:v>
                </c:pt>
                <c:pt idx="11">
                  <c:v>43.738697768057023</c:v>
                </c:pt>
                <c:pt idx="12">
                  <c:v>52.136246489482119</c:v>
                </c:pt>
                <c:pt idx="13">
                  <c:v>62.32961557705903</c:v>
                </c:pt>
                <c:pt idx="14">
                  <c:v>91.442737892796345</c:v>
                </c:pt>
                <c:pt idx="15">
                  <c:v>113.66207577979935</c:v>
                </c:pt>
                <c:pt idx="16">
                  <c:v>129.34531506777239</c:v>
                </c:pt>
                <c:pt idx="17">
                  <c:v>172.43595318935195</c:v>
                </c:pt>
                <c:pt idx="18">
                  <c:v>252.56838837668101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5-43F1-BC87-956827D1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2801168"/>
        <c:axId val="1"/>
      </c:barChart>
      <c:catAx>
        <c:axId val="46280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Employment level ('000s)</a:t>
                </a:r>
              </a:p>
            </c:rich>
          </c:tx>
          <c:layout>
            <c:manualLayout>
              <c:xMode val="edge"/>
              <c:yMode val="edge"/>
              <c:x val="0.5786516853932584"/>
              <c:y val="0.9435897435897435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628011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5.emf"/><Relationship Id="rId16" Type="http://schemas.openxmlformats.org/officeDocument/2006/relationships/image" Target="../media/image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</xdr:row>
          <xdr:rowOff>66675</xdr:rowOff>
        </xdr:from>
        <xdr:to>
          <xdr:col>12</xdr:col>
          <xdr:colOff>19050</xdr:colOff>
          <xdr:row>3</xdr:row>
          <xdr:rowOff>133350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</xdr:row>
          <xdr:rowOff>66675</xdr:rowOff>
        </xdr:from>
        <xdr:to>
          <xdr:col>12</xdr:col>
          <xdr:colOff>19050</xdr:colOff>
          <xdr:row>5</xdr:row>
          <xdr:rowOff>133350</xdr:rowOff>
        </xdr:to>
        <xdr:sp macro="" textlink="">
          <xdr:nvSpPr>
            <xdr:cNvPr id="3075" name="Combo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6</xdr:row>
          <xdr:rowOff>66675</xdr:rowOff>
        </xdr:from>
        <xdr:to>
          <xdr:col>12</xdr:col>
          <xdr:colOff>19050</xdr:colOff>
          <xdr:row>7</xdr:row>
          <xdr:rowOff>133350</xdr:rowOff>
        </xdr:to>
        <xdr:sp macro="" textlink="">
          <xdr:nvSpPr>
            <xdr:cNvPr id="3076" name="ComboBox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</xdr:row>
          <xdr:rowOff>66675</xdr:rowOff>
        </xdr:from>
        <xdr:to>
          <xdr:col>3</xdr:col>
          <xdr:colOff>552450</xdr:colOff>
          <xdr:row>3</xdr:row>
          <xdr:rowOff>133350</xdr:rowOff>
        </xdr:to>
        <xdr:sp macro="" textlink="">
          <xdr:nvSpPr>
            <xdr:cNvPr id="3077" name="Option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</xdr:row>
          <xdr:rowOff>180975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3079" name="OptionButto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5</xdr:row>
          <xdr:rowOff>104775</xdr:rowOff>
        </xdr:from>
        <xdr:to>
          <xdr:col>3</xdr:col>
          <xdr:colOff>552450</xdr:colOff>
          <xdr:row>6</xdr:row>
          <xdr:rowOff>171450</xdr:rowOff>
        </xdr:to>
        <xdr:sp macro="" textlink="">
          <xdr:nvSpPr>
            <xdr:cNvPr id="3080" name="OptionButton3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28575</xdr:rowOff>
        </xdr:from>
        <xdr:to>
          <xdr:col>3</xdr:col>
          <xdr:colOff>552450</xdr:colOff>
          <xdr:row>8</xdr:row>
          <xdr:rowOff>95250</xdr:rowOff>
        </xdr:to>
        <xdr:sp macro="" textlink="">
          <xdr:nvSpPr>
            <xdr:cNvPr id="3082" name="OptionButton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190500</xdr:colOff>
      <xdr:row>9</xdr:row>
      <xdr:rowOff>85725</xdr:rowOff>
    </xdr:from>
    <xdr:to>
      <xdr:col>14</xdr:col>
      <xdr:colOff>133350</xdr:colOff>
      <xdr:row>38</xdr:row>
      <xdr:rowOff>133350</xdr:rowOff>
    </xdr:to>
    <xdr:graphicFrame macro="">
      <xdr:nvGraphicFramePr>
        <xdr:cNvPr id="3401" name="Chart1">
          <a:extLs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13</xdr:row>
          <xdr:rowOff>0</xdr:rowOff>
        </xdr:from>
        <xdr:to>
          <xdr:col>17</xdr:col>
          <xdr:colOff>28575</xdr:colOff>
          <xdr:row>14</xdr:row>
          <xdr:rowOff>66675</xdr:rowOff>
        </xdr:to>
        <xdr:sp macro="" textlink="">
          <xdr:nvSpPr>
            <xdr:cNvPr id="3088" name="OptionButton5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14</xdr:row>
          <xdr:rowOff>114300</xdr:rowOff>
        </xdr:from>
        <xdr:to>
          <xdr:col>17</xdr:col>
          <xdr:colOff>28575</xdr:colOff>
          <xdr:row>15</xdr:row>
          <xdr:rowOff>180975</xdr:rowOff>
        </xdr:to>
        <xdr:sp macro="" textlink="">
          <xdr:nvSpPr>
            <xdr:cNvPr id="3089" name="OptionButton6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21</xdr:row>
          <xdr:rowOff>133350</xdr:rowOff>
        </xdr:from>
        <xdr:to>
          <xdr:col>16</xdr:col>
          <xdr:colOff>447675</xdr:colOff>
          <xdr:row>23</xdr:row>
          <xdr:rowOff>9525</xdr:rowOff>
        </xdr:to>
        <xdr:sp macro="" textlink="">
          <xdr:nvSpPr>
            <xdr:cNvPr id="3091" name="OptionButton7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23</xdr:row>
          <xdr:rowOff>57150</xdr:rowOff>
        </xdr:from>
        <xdr:to>
          <xdr:col>16</xdr:col>
          <xdr:colOff>447675</xdr:colOff>
          <xdr:row>24</xdr:row>
          <xdr:rowOff>123825</xdr:rowOff>
        </xdr:to>
        <xdr:sp macro="" textlink="">
          <xdr:nvSpPr>
            <xdr:cNvPr id="3092" name="OptionButton8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190500</xdr:colOff>
      <xdr:row>9</xdr:row>
      <xdr:rowOff>85725</xdr:rowOff>
    </xdr:from>
    <xdr:to>
      <xdr:col>14</xdr:col>
      <xdr:colOff>133350</xdr:colOff>
      <xdr:row>38</xdr:row>
      <xdr:rowOff>133350</xdr:rowOff>
    </xdr:to>
    <xdr:graphicFrame macro="">
      <xdr:nvGraphicFramePr>
        <xdr:cNvPr id="3402" name="Chart2" hidden="1">
          <a:extLs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10</xdr:row>
          <xdr:rowOff>76200</xdr:rowOff>
        </xdr:from>
        <xdr:to>
          <xdr:col>17</xdr:col>
          <xdr:colOff>514350</xdr:colOff>
          <xdr:row>12</xdr:row>
          <xdr:rowOff>104775</xdr:rowOff>
        </xdr:to>
        <xdr:sp macro="" textlink="">
          <xdr:nvSpPr>
            <xdr:cNvPr id="3190" name="Label1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4</xdr:row>
          <xdr:rowOff>66675</xdr:rowOff>
        </xdr:from>
        <xdr:to>
          <xdr:col>3</xdr:col>
          <xdr:colOff>400050</xdr:colOff>
          <xdr:row>6</xdr:row>
          <xdr:rowOff>95250</xdr:rowOff>
        </xdr:to>
        <xdr:sp macro="" textlink="">
          <xdr:nvSpPr>
            <xdr:cNvPr id="3191" name="Label2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2</xdr:row>
          <xdr:rowOff>95250</xdr:rowOff>
        </xdr:from>
        <xdr:to>
          <xdr:col>6</xdr:col>
          <xdr:colOff>114300</xdr:colOff>
          <xdr:row>3</xdr:row>
          <xdr:rowOff>133350</xdr:rowOff>
        </xdr:to>
        <xdr:sp macro="" textlink="">
          <xdr:nvSpPr>
            <xdr:cNvPr id="3228" name="Label3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95250</xdr:rowOff>
        </xdr:from>
        <xdr:to>
          <xdr:col>6</xdr:col>
          <xdr:colOff>114300</xdr:colOff>
          <xdr:row>5</xdr:row>
          <xdr:rowOff>133350</xdr:rowOff>
        </xdr:to>
        <xdr:sp macro="" textlink="">
          <xdr:nvSpPr>
            <xdr:cNvPr id="3229" name="Label4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95250</xdr:rowOff>
        </xdr:from>
        <xdr:to>
          <xdr:col>6</xdr:col>
          <xdr:colOff>114300</xdr:colOff>
          <xdr:row>7</xdr:row>
          <xdr:rowOff>133350</xdr:rowOff>
        </xdr:to>
        <xdr:sp macro="" textlink="">
          <xdr:nvSpPr>
            <xdr:cNvPr id="3230" name="Label5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419</xdr:row>
          <xdr:rowOff>0</xdr:rowOff>
        </xdr:from>
        <xdr:to>
          <xdr:col>8</xdr:col>
          <xdr:colOff>304800</xdr:colOff>
          <xdr:row>420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3"/>
  <sheetViews>
    <sheetView showRowColHeaders="0" tabSelected="1" workbookViewId="0">
      <selection activeCell="M2" sqref="M2"/>
    </sheetView>
  </sheetViews>
  <sheetFormatPr defaultRowHeight="15" x14ac:dyDescent="0.25"/>
  <cols>
    <col min="1" max="16384" width="9.140625" style="69"/>
  </cols>
  <sheetData>
    <row r="1" spans="1:16" ht="21" x14ac:dyDescent="0.35">
      <c r="A1" s="70" t="s">
        <v>822</v>
      </c>
    </row>
    <row r="2" spans="1:16" x14ac:dyDescent="0.25">
      <c r="A2" s="72" t="s">
        <v>812</v>
      </c>
      <c r="G2" s="72" t="s">
        <v>813</v>
      </c>
      <c r="P2" s="75" t="str">
        <f>"National Skills Commission Seasonally Adjusted data to "&amp;TEXT('Trend Data IN'!T1,"mmmm yyyy")</f>
        <v>National Skills Commission Seasonally Adjusted data to May 2020</v>
      </c>
    </row>
    <row r="3" spans="1:16" x14ac:dyDescent="0.25">
      <c r="P3" s="75" t="str">
        <f>"National Skills Commission Employment Projections, five years to "&amp;MID('Projections IN'!E2,42,255)</f>
        <v>National Skills Commission Employment Projections, five years to May 2024</v>
      </c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30" r:id="rId4" name="Label5">
          <controlPr defaultSize="0" autoLine="0" r:id="rId5">
            <anchor moveWithCells="1">
              <from>
                <xdr:col>4</xdr:col>
                <xdr:colOff>419100</xdr:colOff>
                <xdr:row>6</xdr:row>
                <xdr:rowOff>95250</xdr:rowOff>
              </from>
              <to>
                <xdr:col>6</xdr:col>
                <xdr:colOff>114300</xdr:colOff>
                <xdr:row>7</xdr:row>
                <xdr:rowOff>133350</xdr:rowOff>
              </to>
            </anchor>
          </controlPr>
        </control>
      </mc:Choice>
      <mc:Fallback>
        <control shapeId="3230" r:id="rId4" name="Label5"/>
      </mc:Fallback>
    </mc:AlternateContent>
    <mc:AlternateContent xmlns:mc="http://schemas.openxmlformats.org/markup-compatibility/2006">
      <mc:Choice Requires="x14">
        <control shapeId="3229" r:id="rId6" name="Label4">
          <controlPr defaultSize="0" autoLine="0" r:id="rId7">
            <anchor moveWithCells="1">
              <from>
                <xdr:col>4</xdr:col>
                <xdr:colOff>419100</xdr:colOff>
                <xdr:row>4</xdr:row>
                <xdr:rowOff>95250</xdr:rowOff>
              </from>
              <to>
                <xdr:col>6</xdr:col>
                <xdr:colOff>114300</xdr:colOff>
                <xdr:row>5</xdr:row>
                <xdr:rowOff>133350</xdr:rowOff>
              </to>
            </anchor>
          </controlPr>
        </control>
      </mc:Choice>
      <mc:Fallback>
        <control shapeId="3229" r:id="rId6" name="Label4"/>
      </mc:Fallback>
    </mc:AlternateContent>
    <mc:AlternateContent xmlns:mc="http://schemas.openxmlformats.org/markup-compatibility/2006">
      <mc:Choice Requires="x14">
        <control shapeId="3228" r:id="rId8" name="Label3">
          <controlPr defaultSize="0" autoLine="0" r:id="rId9">
            <anchor moveWithCells="1">
              <from>
                <xdr:col>4</xdr:col>
                <xdr:colOff>419100</xdr:colOff>
                <xdr:row>2</xdr:row>
                <xdr:rowOff>95250</xdr:rowOff>
              </from>
              <to>
                <xdr:col>6</xdr:col>
                <xdr:colOff>114300</xdr:colOff>
                <xdr:row>3</xdr:row>
                <xdr:rowOff>133350</xdr:rowOff>
              </to>
            </anchor>
          </controlPr>
        </control>
      </mc:Choice>
      <mc:Fallback>
        <control shapeId="3228" r:id="rId8" name="Label3"/>
      </mc:Fallback>
    </mc:AlternateContent>
    <mc:AlternateContent xmlns:mc="http://schemas.openxmlformats.org/markup-compatibility/2006">
      <mc:Choice Requires="x14">
        <control shapeId="3191" r:id="rId10" name="Label2">
          <controlPr defaultSize="0" autoLine="0" r:id="rId11">
            <anchor moveWithCells="1">
              <from>
                <xdr:col>0</xdr:col>
                <xdr:colOff>342900</xdr:colOff>
                <xdr:row>4</xdr:row>
                <xdr:rowOff>66675</xdr:rowOff>
              </from>
              <to>
                <xdr:col>3</xdr:col>
                <xdr:colOff>400050</xdr:colOff>
                <xdr:row>6</xdr:row>
                <xdr:rowOff>95250</xdr:rowOff>
              </to>
            </anchor>
          </controlPr>
        </control>
      </mc:Choice>
      <mc:Fallback>
        <control shapeId="3191" r:id="rId10" name="Label2"/>
      </mc:Fallback>
    </mc:AlternateContent>
    <mc:AlternateContent xmlns:mc="http://schemas.openxmlformats.org/markup-compatibility/2006">
      <mc:Choice Requires="x14">
        <control shapeId="3190" r:id="rId12" name="Label1">
          <controlPr defaultSize="0" autoLine="0" r:id="rId13">
            <anchor moveWithCells="1">
              <from>
                <xdr:col>14</xdr:col>
                <xdr:colOff>457200</xdr:colOff>
                <xdr:row>10</xdr:row>
                <xdr:rowOff>76200</xdr:rowOff>
              </from>
              <to>
                <xdr:col>17</xdr:col>
                <xdr:colOff>514350</xdr:colOff>
                <xdr:row>12</xdr:row>
                <xdr:rowOff>104775</xdr:rowOff>
              </to>
            </anchor>
          </controlPr>
        </control>
      </mc:Choice>
      <mc:Fallback>
        <control shapeId="3190" r:id="rId12" name="Label1"/>
      </mc:Fallback>
    </mc:AlternateContent>
    <mc:AlternateContent xmlns:mc="http://schemas.openxmlformats.org/markup-compatibility/2006">
      <mc:Choice Requires="x14">
        <control shapeId="3092" r:id="rId14" name="OptionButton8">
          <controlPr autoLine="0" r:id="rId15">
            <anchor moveWithCells="1">
              <from>
                <xdr:col>14</xdr:col>
                <xdr:colOff>457200</xdr:colOff>
                <xdr:row>23</xdr:row>
                <xdr:rowOff>57150</xdr:rowOff>
              </from>
              <to>
                <xdr:col>16</xdr:col>
                <xdr:colOff>447675</xdr:colOff>
                <xdr:row>24</xdr:row>
                <xdr:rowOff>123825</xdr:rowOff>
              </to>
            </anchor>
          </controlPr>
        </control>
      </mc:Choice>
      <mc:Fallback>
        <control shapeId="3092" r:id="rId14" name="OptionButton8"/>
      </mc:Fallback>
    </mc:AlternateContent>
    <mc:AlternateContent xmlns:mc="http://schemas.openxmlformats.org/markup-compatibility/2006">
      <mc:Choice Requires="x14">
        <control shapeId="3091" r:id="rId16" name="OptionButton7">
          <controlPr autoLine="0" r:id="rId17">
            <anchor moveWithCells="1">
              <from>
                <xdr:col>14</xdr:col>
                <xdr:colOff>457200</xdr:colOff>
                <xdr:row>21</xdr:row>
                <xdr:rowOff>133350</xdr:rowOff>
              </from>
              <to>
                <xdr:col>16</xdr:col>
                <xdr:colOff>447675</xdr:colOff>
                <xdr:row>23</xdr:row>
                <xdr:rowOff>9525</xdr:rowOff>
              </to>
            </anchor>
          </controlPr>
        </control>
      </mc:Choice>
      <mc:Fallback>
        <control shapeId="3091" r:id="rId16" name="OptionButton7"/>
      </mc:Fallback>
    </mc:AlternateContent>
    <mc:AlternateContent xmlns:mc="http://schemas.openxmlformats.org/markup-compatibility/2006">
      <mc:Choice Requires="x14">
        <control shapeId="3089" r:id="rId18" name="OptionButton6">
          <controlPr autoLine="0" r:id="rId19">
            <anchor moveWithCells="1">
              <from>
                <xdr:col>14</xdr:col>
                <xdr:colOff>457200</xdr:colOff>
                <xdr:row>14</xdr:row>
                <xdr:rowOff>114300</xdr:rowOff>
              </from>
              <to>
                <xdr:col>17</xdr:col>
                <xdr:colOff>28575</xdr:colOff>
                <xdr:row>15</xdr:row>
                <xdr:rowOff>180975</xdr:rowOff>
              </to>
            </anchor>
          </controlPr>
        </control>
      </mc:Choice>
      <mc:Fallback>
        <control shapeId="3089" r:id="rId18" name="OptionButton6"/>
      </mc:Fallback>
    </mc:AlternateContent>
    <mc:AlternateContent xmlns:mc="http://schemas.openxmlformats.org/markup-compatibility/2006">
      <mc:Choice Requires="x14">
        <control shapeId="3088" r:id="rId20" name="OptionButton5">
          <controlPr autoLine="0" r:id="rId21">
            <anchor moveWithCells="1">
              <from>
                <xdr:col>14</xdr:col>
                <xdr:colOff>457200</xdr:colOff>
                <xdr:row>13</xdr:row>
                <xdr:rowOff>0</xdr:rowOff>
              </from>
              <to>
                <xdr:col>17</xdr:col>
                <xdr:colOff>28575</xdr:colOff>
                <xdr:row>14</xdr:row>
                <xdr:rowOff>66675</xdr:rowOff>
              </to>
            </anchor>
          </controlPr>
        </control>
      </mc:Choice>
      <mc:Fallback>
        <control shapeId="3088" r:id="rId20" name="OptionButton5"/>
      </mc:Fallback>
    </mc:AlternateContent>
    <mc:AlternateContent xmlns:mc="http://schemas.openxmlformats.org/markup-compatibility/2006">
      <mc:Choice Requires="x14">
        <control shapeId="3082" r:id="rId22" name="OptionButton4">
          <controlPr autoLine="0" r:id="rId23">
            <anchor moveWithCells="1">
              <from>
                <xdr:col>0</xdr:col>
                <xdr:colOff>180975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95250</xdr:rowOff>
              </to>
            </anchor>
          </controlPr>
        </control>
      </mc:Choice>
      <mc:Fallback>
        <control shapeId="3082" r:id="rId22" name="OptionButton4"/>
      </mc:Fallback>
    </mc:AlternateContent>
    <mc:AlternateContent xmlns:mc="http://schemas.openxmlformats.org/markup-compatibility/2006">
      <mc:Choice Requires="x14">
        <control shapeId="3080" r:id="rId24" name="OptionButton3">
          <controlPr autoLine="0" r:id="rId25">
            <anchor moveWithCells="1">
              <from>
                <xdr:col>0</xdr:col>
                <xdr:colOff>180975</xdr:colOff>
                <xdr:row>5</xdr:row>
                <xdr:rowOff>104775</xdr:rowOff>
              </from>
              <to>
                <xdr:col>3</xdr:col>
                <xdr:colOff>552450</xdr:colOff>
                <xdr:row>6</xdr:row>
                <xdr:rowOff>171450</xdr:rowOff>
              </to>
            </anchor>
          </controlPr>
        </control>
      </mc:Choice>
      <mc:Fallback>
        <control shapeId="3080" r:id="rId24" name="OptionButton3"/>
      </mc:Fallback>
    </mc:AlternateContent>
    <mc:AlternateContent xmlns:mc="http://schemas.openxmlformats.org/markup-compatibility/2006">
      <mc:Choice Requires="x14">
        <control shapeId="3079" r:id="rId26" name="OptionButton2">
          <controlPr autoLine="0" r:id="rId27">
            <anchor moveWithCells="1">
              <from>
                <xdr:col>0</xdr:col>
                <xdr:colOff>180975</xdr:colOff>
                <xdr:row>3</xdr:row>
                <xdr:rowOff>180975</xdr:rowOff>
              </from>
              <to>
                <xdr:col>3</xdr:col>
                <xdr:colOff>552450</xdr:colOff>
                <xdr:row>5</xdr:row>
                <xdr:rowOff>57150</xdr:rowOff>
              </to>
            </anchor>
          </controlPr>
        </control>
      </mc:Choice>
      <mc:Fallback>
        <control shapeId="3079" r:id="rId26" name="OptionButton2"/>
      </mc:Fallback>
    </mc:AlternateContent>
    <mc:AlternateContent xmlns:mc="http://schemas.openxmlformats.org/markup-compatibility/2006">
      <mc:Choice Requires="x14">
        <control shapeId="3077" r:id="rId28" name="OptionButton1">
          <controlPr autoLine="0" r:id="rId29">
            <anchor moveWithCells="1">
              <from>
                <xdr:col>0</xdr:col>
                <xdr:colOff>180975</xdr:colOff>
                <xdr:row>2</xdr:row>
                <xdr:rowOff>66675</xdr:rowOff>
              </from>
              <to>
                <xdr:col>3</xdr:col>
                <xdr:colOff>552450</xdr:colOff>
                <xdr:row>3</xdr:row>
                <xdr:rowOff>133350</xdr:rowOff>
              </to>
            </anchor>
          </controlPr>
        </control>
      </mc:Choice>
      <mc:Fallback>
        <control shapeId="3077" r:id="rId28" name="OptionButton1"/>
      </mc:Fallback>
    </mc:AlternateContent>
    <mc:AlternateContent xmlns:mc="http://schemas.openxmlformats.org/markup-compatibility/2006">
      <mc:Choice Requires="x14">
        <control shapeId="3076" r:id="rId30" name="ComboBox3">
          <controlPr defaultSize="0" disabled="1" autoLine="0" r:id="rId31">
            <anchor moveWithCells="1">
              <from>
                <xdr:col>6</xdr:col>
                <xdr:colOff>180975</xdr:colOff>
                <xdr:row>6</xdr:row>
                <xdr:rowOff>66675</xdr:rowOff>
              </from>
              <to>
                <xdr:col>12</xdr:col>
                <xdr:colOff>19050</xdr:colOff>
                <xdr:row>7</xdr:row>
                <xdr:rowOff>133350</xdr:rowOff>
              </to>
            </anchor>
          </controlPr>
        </control>
      </mc:Choice>
      <mc:Fallback>
        <control shapeId="3076" r:id="rId30" name="ComboBox3"/>
      </mc:Fallback>
    </mc:AlternateContent>
    <mc:AlternateContent xmlns:mc="http://schemas.openxmlformats.org/markup-compatibility/2006">
      <mc:Choice Requires="x14">
        <control shapeId="3075" r:id="rId32" name="ComboBox2">
          <controlPr defaultSize="0" disabled="1" autoLine="0" r:id="rId33">
            <anchor moveWithCells="1">
              <from>
                <xdr:col>6</xdr:col>
                <xdr:colOff>180975</xdr:colOff>
                <xdr:row>4</xdr:row>
                <xdr:rowOff>66675</xdr:rowOff>
              </from>
              <to>
                <xdr:col>12</xdr:col>
                <xdr:colOff>19050</xdr:colOff>
                <xdr:row>5</xdr:row>
                <xdr:rowOff>133350</xdr:rowOff>
              </to>
            </anchor>
          </controlPr>
        </control>
      </mc:Choice>
      <mc:Fallback>
        <control shapeId="3075" r:id="rId32" name="ComboBox2"/>
      </mc:Fallback>
    </mc:AlternateContent>
    <mc:AlternateContent xmlns:mc="http://schemas.openxmlformats.org/markup-compatibility/2006">
      <mc:Choice Requires="x14">
        <control shapeId="3074" r:id="rId34" name="ComboBox1">
          <controlPr defaultSize="0" autoLine="0" listFillRange="Calc!A2:A21" r:id="rId35">
            <anchor moveWithCells="1">
              <from>
                <xdr:col>6</xdr:col>
                <xdr:colOff>180975</xdr:colOff>
                <xdr:row>2</xdr:row>
                <xdr:rowOff>66675</xdr:rowOff>
              </from>
              <to>
                <xdr:col>12</xdr:col>
                <xdr:colOff>19050</xdr:colOff>
                <xdr:row>3</xdr:row>
                <xdr:rowOff>133350</xdr:rowOff>
              </to>
            </anchor>
          </controlPr>
        </control>
      </mc:Choice>
      <mc:Fallback>
        <control shapeId="3074" r:id="rId3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384"/>
  <sheetViews>
    <sheetView workbookViewId="0">
      <selection activeCell="B1" sqref="B1"/>
    </sheetView>
  </sheetViews>
  <sheetFormatPr defaultRowHeight="15" x14ac:dyDescent="0.25"/>
  <cols>
    <col min="1" max="17" width="30.7109375" customWidth="1"/>
  </cols>
  <sheetData>
    <row r="1" spans="1:10" x14ac:dyDescent="0.25">
      <c r="A1" s="56" t="s">
        <v>793</v>
      </c>
      <c r="C1" s="56" t="s">
        <v>799</v>
      </c>
      <c r="F1" s="56" t="s">
        <v>795</v>
      </c>
      <c r="I1" s="56" t="s">
        <v>796</v>
      </c>
    </row>
    <row r="2" spans="1:10" x14ac:dyDescent="0.25">
      <c r="A2" t="s">
        <v>790</v>
      </c>
      <c r="C2" s="58" t="s">
        <v>5</v>
      </c>
      <c r="D2" t="s">
        <v>797</v>
      </c>
      <c r="F2" s="58" t="s">
        <v>5</v>
      </c>
      <c r="G2" t="s">
        <v>797</v>
      </c>
      <c r="I2" s="58" t="s">
        <v>7</v>
      </c>
      <c r="J2" t="s">
        <v>797</v>
      </c>
    </row>
    <row r="3" spans="1:10" x14ac:dyDescent="0.25">
      <c r="A3" t="s">
        <v>5</v>
      </c>
      <c r="D3" t="s">
        <v>7</v>
      </c>
      <c r="G3" t="s">
        <v>9</v>
      </c>
      <c r="J3" t="s">
        <v>9</v>
      </c>
    </row>
    <row r="4" spans="1:10" x14ac:dyDescent="0.25">
      <c r="A4" t="s">
        <v>54</v>
      </c>
      <c r="D4" t="s">
        <v>29</v>
      </c>
      <c r="G4" t="s">
        <v>11</v>
      </c>
      <c r="J4" t="s">
        <v>11</v>
      </c>
    </row>
    <row r="5" spans="1:10" x14ac:dyDescent="0.25">
      <c r="A5" t="s">
        <v>84</v>
      </c>
      <c r="D5" t="s">
        <v>32</v>
      </c>
      <c r="G5" t="s">
        <v>13</v>
      </c>
      <c r="J5" t="s">
        <v>13</v>
      </c>
    </row>
    <row r="6" spans="1:10" x14ac:dyDescent="0.25">
      <c r="A6" t="s">
        <v>256</v>
      </c>
      <c r="D6" t="s">
        <v>35</v>
      </c>
      <c r="G6" t="s">
        <v>15</v>
      </c>
      <c r="J6" t="s">
        <v>15</v>
      </c>
    </row>
    <row r="7" spans="1:10" x14ac:dyDescent="0.25">
      <c r="A7" t="s">
        <v>287</v>
      </c>
      <c r="D7" t="s">
        <v>43</v>
      </c>
      <c r="G7" t="s">
        <v>17</v>
      </c>
      <c r="J7" t="s">
        <v>17</v>
      </c>
    </row>
    <row r="8" spans="1:10" x14ac:dyDescent="0.25">
      <c r="A8" t="s">
        <v>317</v>
      </c>
      <c r="D8" t="s">
        <v>51</v>
      </c>
      <c r="G8" t="s">
        <v>19</v>
      </c>
      <c r="J8" t="s">
        <v>19</v>
      </c>
    </row>
    <row r="9" spans="1:10" x14ac:dyDescent="0.25">
      <c r="A9" t="s">
        <v>359</v>
      </c>
      <c r="C9" t="s">
        <v>54</v>
      </c>
      <c r="D9" t="s">
        <v>797</v>
      </c>
      <c r="G9" t="s">
        <v>21</v>
      </c>
      <c r="J9" t="s">
        <v>21</v>
      </c>
    </row>
    <row r="10" spans="1:10" x14ac:dyDescent="0.25">
      <c r="A10" t="s">
        <v>409</v>
      </c>
      <c r="D10" t="s">
        <v>56</v>
      </c>
      <c r="G10" t="s">
        <v>23</v>
      </c>
      <c r="J10" t="s">
        <v>23</v>
      </c>
    </row>
    <row r="11" spans="1:10" x14ac:dyDescent="0.25">
      <c r="A11" t="s">
        <v>427</v>
      </c>
      <c r="D11" t="s">
        <v>59</v>
      </c>
      <c r="G11" t="s">
        <v>25</v>
      </c>
      <c r="J11" t="s">
        <v>25</v>
      </c>
    </row>
    <row r="12" spans="1:10" x14ac:dyDescent="0.25">
      <c r="A12" t="s">
        <v>483</v>
      </c>
      <c r="D12" t="s">
        <v>62</v>
      </c>
      <c r="G12" t="s">
        <v>27</v>
      </c>
      <c r="J12" t="s">
        <v>27</v>
      </c>
    </row>
    <row r="13" spans="1:10" x14ac:dyDescent="0.25">
      <c r="A13" t="s">
        <v>534</v>
      </c>
      <c r="D13" t="s">
        <v>65</v>
      </c>
      <c r="G13" t="s">
        <v>29</v>
      </c>
      <c r="I13" t="s">
        <v>29</v>
      </c>
      <c r="J13" t="s">
        <v>798</v>
      </c>
    </row>
    <row r="14" spans="1:10" x14ac:dyDescent="0.25">
      <c r="A14" t="s">
        <v>569</v>
      </c>
      <c r="D14" t="s">
        <v>73</v>
      </c>
      <c r="G14" t="s">
        <v>32</v>
      </c>
      <c r="I14" t="s">
        <v>32</v>
      </c>
      <c r="J14" t="s">
        <v>798</v>
      </c>
    </row>
    <row r="15" spans="1:10" x14ac:dyDescent="0.25">
      <c r="A15" t="s">
        <v>594</v>
      </c>
      <c r="D15" t="s">
        <v>81</v>
      </c>
      <c r="G15" t="s">
        <v>37</v>
      </c>
      <c r="I15" t="s">
        <v>35</v>
      </c>
      <c r="J15" t="s">
        <v>797</v>
      </c>
    </row>
    <row r="16" spans="1:10" x14ac:dyDescent="0.25">
      <c r="A16" t="s">
        <v>622</v>
      </c>
      <c r="C16" t="s">
        <v>84</v>
      </c>
      <c r="D16" t="s">
        <v>797</v>
      </c>
      <c r="G16" t="s">
        <v>39</v>
      </c>
      <c r="J16" t="s">
        <v>37</v>
      </c>
    </row>
    <row r="17" spans="1:10" x14ac:dyDescent="0.25">
      <c r="A17" t="s">
        <v>645</v>
      </c>
      <c r="D17" t="s">
        <v>86</v>
      </c>
      <c r="G17" t="s">
        <v>41</v>
      </c>
      <c r="J17" t="s">
        <v>39</v>
      </c>
    </row>
    <row r="18" spans="1:10" x14ac:dyDescent="0.25">
      <c r="A18" t="s">
        <v>675</v>
      </c>
      <c r="D18" t="s">
        <v>108</v>
      </c>
      <c r="G18" t="s">
        <v>45</v>
      </c>
      <c r="J18" t="s">
        <v>41</v>
      </c>
    </row>
    <row r="19" spans="1:10" x14ac:dyDescent="0.25">
      <c r="A19" t="s">
        <v>698</v>
      </c>
      <c r="D19" t="s">
        <v>116</v>
      </c>
      <c r="G19" t="s">
        <v>47</v>
      </c>
      <c r="I19" t="s">
        <v>43</v>
      </c>
      <c r="J19" t="s">
        <v>797</v>
      </c>
    </row>
    <row r="20" spans="1:10" x14ac:dyDescent="0.25">
      <c r="A20" t="s">
        <v>729</v>
      </c>
      <c r="D20" t="s">
        <v>130</v>
      </c>
      <c r="G20" t="s">
        <v>49</v>
      </c>
      <c r="J20" t="s">
        <v>45</v>
      </c>
    </row>
    <row r="21" spans="1:10" x14ac:dyDescent="0.25">
      <c r="A21" t="s">
        <v>758</v>
      </c>
      <c r="D21" t="s">
        <v>138</v>
      </c>
      <c r="G21" t="s">
        <v>51</v>
      </c>
      <c r="J21" t="s">
        <v>47</v>
      </c>
    </row>
    <row r="22" spans="1:10" x14ac:dyDescent="0.25">
      <c r="D22" t="s">
        <v>146</v>
      </c>
      <c r="F22" t="s">
        <v>54</v>
      </c>
      <c r="G22" t="s">
        <v>797</v>
      </c>
      <c r="J22" t="s">
        <v>49</v>
      </c>
    </row>
    <row r="23" spans="1:10" x14ac:dyDescent="0.25">
      <c r="D23" t="s">
        <v>154</v>
      </c>
      <c r="G23" t="s">
        <v>56</v>
      </c>
      <c r="I23" t="s">
        <v>51</v>
      </c>
      <c r="J23" t="s">
        <v>798</v>
      </c>
    </row>
    <row r="24" spans="1:10" x14ac:dyDescent="0.25">
      <c r="D24" t="s">
        <v>157</v>
      </c>
      <c r="G24" t="s">
        <v>59</v>
      </c>
      <c r="I24" t="s">
        <v>56</v>
      </c>
      <c r="J24" t="s">
        <v>798</v>
      </c>
    </row>
    <row r="25" spans="1:10" x14ac:dyDescent="0.25">
      <c r="A25" s="56" t="s">
        <v>794</v>
      </c>
      <c r="D25" t="s">
        <v>173</v>
      </c>
      <c r="G25" t="s">
        <v>62</v>
      </c>
      <c r="I25" t="s">
        <v>59</v>
      </c>
      <c r="J25" t="s">
        <v>798</v>
      </c>
    </row>
    <row r="26" spans="1:10" x14ac:dyDescent="0.25">
      <c r="A26" t="s">
        <v>790</v>
      </c>
      <c r="D26" t="s">
        <v>181</v>
      </c>
      <c r="G26" t="s">
        <v>67</v>
      </c>
      <c r="I26" t="s">
        <v>62</v>
      </c>
      <c r="J26" t="s">
        <v>798</v>
      </c>
    </row>
    <row r="27" spans="1:10" x14ac:dyDescent="0.25">
      <c r="D27" t="s">
        <v>193</v>
      </c>
      <c r="G27" t="s">
        <v>69</v>
      </c>
      <c r="I27" t="s">
        <v>65</v>
      </c>
      <c r="J27" t="s">
        <v>797</v>
      </c>
    </row>
    <row r="28" spans="1:10" x14ac:dyDescent="0.25">
      <c r="D28" t="s">
        <v>205</v>
      </c>
      <c r="G28" t="s">
        <v>71</v>
      </c>
      <c r="J28" t="s">
        <v>67</v>
      </c>
    </row>
    <row r="29" spans="1:10" x14ac:dyDescent="0.25">
      <c r="A29" s="59" t="s">
        <v>802</v>
      </c>
      <c r="B29" s="59" t="s">
        <v>814</v>
      </c>
      <c r="D29" t="s">
        <v>219</v>
      </c>
      <c r="G29" t="s">
        <v>75</v>
      </c>
      <c r="J29" t="s">
        <v>69</v>
      </c>
    </row>
    <row r="30" spans="1:10" x14ac:dyDescent="0.25">
      <c r="A30" s="60">
        <f>DATEVALUE(MID('Projections IN'!E2,42,255))</f>
        <v>45413</v>
      </c>
      <c r="B30" s="71">
        <f>'Trend Data IN'!T1</f>
        <v>43952</v>
      </c>
      <c r="D30" t="s">
        <v>227</v>
      </c>
      <c r="G30" t="s">
        <v>77</v>
      </c>
      <c r="J30" t="s">
        <v>71</v>
      </c>
    </row>
    <row r="31" spans="1:10" x14ac:dyDescent="0.25">
      <c r="D31" t="s">
        <v>245</v>
      </c>
      <c r="G31" t="s">
        <v>79</v>
      </c>
      <c r="I31" t="s">
        <v>73</v>
      </c>
      <c r="J31" t="s">
        <v>797</v>
      </c>
    </row>
    <row r="32" spans="1:10" x14ac:dyDescent="0.25">
      <c r="D32" t="s">
        <v>253</v>
      </c>
      <c r="G32" t="s">
        <v>81</v>
      </c>
      <c r="J32" t="s">
        <v>75</v>
      </c>
    </row>
    <row r="33" spans="1:10" x14ac:dyDescent="0.25">
      <c r="A33" s="59" t="s">
        <v>811</v>
      </c>
      <c r="C33" t="s">
        <v>256</v>
      </c>
      <c r="D33" t="s">
        <v>797</v>
      </c>
      <c r="F33" t="s">
        <v>84</v>
      </c>
      <c r="G33" t="s">
        <v>797</v>
      </c>
      <c r="J33" t="s">
        <v>77</v>
      </c>
    </row>
    <row r="34" spans="1:10" x14ac:dyDescent="0.25">
      <c r="A34" t="str">
        <f>"Past and future employment levels - "&amp;Selected_Industry</f>
        <v>Past and future employment levels - ALL INDUSTRIES</v>
      </c>
      <c r="D34" t="s">
        <v>258</v>
      </c>
      <c r="G34" t="s">
        <v>88</v>
      </c>
      <c r="J34" t="s">
        <v>79</v>
      </c>
    </row>
    <row r="35" spans="1:10" x14ac:dyDescent="0.25">
      <c r="D35" t="s">
        <v>270</v>
      </c>
      <c r="G35" t="s">
        <v>90</v>
      </c>
      <c r="I35" t="s">
        <v>81</v>
      </c>
      <c r="J35" t="s">
        <v>798</v>
      </c>
    </row>
    <row r="36" spans="1:10" x14ac:dyDescent="0.25">
      <c r="D36" t="s">
        <v>273</v>
      </c>
      <c r="G36" t="s">
        <v>92</v>
      </c>
      <c r="I36" t="s">
        <v>86</v>
      </c>
      <c r="J36" t="s">
        <v>797</v>
      </c>
    </row>
    <row r="37" spans="1:10" x14ac:dyDescent="0.25">
      <c r="D37" t="s">
        <v>276</v>
      </c>
      <c r="G37" t="s">
        <v>94</v>
      </c>
      <c r="J37" t="s">
        <v>88</v>
      </c>
    </row>
    <row r="38" spans="1:10" x14ac:dyDescent="0.25">
      <c r="D38" t="s">
        <v>284</v>
      </c>
      <c r="G38" t="s">
        <v>96</v>
      </c>
      <c r="J38" t="s">
        <v>90</v>
      </c>
    </row>
    <row r="39" spans="1:10" x14ac:dyDescent="0.25">
      <c r="C39" t="s">
        <v>287</v>
      </c>
      <c r="D39" t="s">
        <v>797</v>
      </c>
      <c r="G39" t="s">
        <v>98</v>
      </c>
      <c r="J39" t="s">
        <v>92</v>
      </c>
    </row>
    <row r="40" spans="1:10" x14ac:dyDescent="0.25">
      <c r="D40" t="s">
        <v>289</v>
      </c>
      <c r="G40" t="s">
        <v>100</v>
      </c>
      <c r="J40" t="s">
        <v>94</v>
      </c>
    </row>
    <row r="41" spans="1:10" x14ac:dyDescent="0.25">
      <c r="D41" t="s">
        <v>297</v>
      </c>
      <c r="G41" t="s">
        <v>102</v>
      </c>
      <c r="J41" t="s">
        <v>96</v>
      </c>
    </row>
    <row r="42" spans="1:10" x14ac:dyDescent="0.25">
      <c r="D42" t="s">
        <v>300</v>
      </c>
      <c r="G42" t="s">
        <v>104</v>
      </c>
      <c r="J42" t="s">
        <v>98</v>
      </c>
    </row>
    <row r="43" spans="1:10" x14ac:dyDescent="0.25">
      <c r="D43" t="s">
        <v>314</v>
      </c>
      <c r="G43" t="s">
        <v>106</v>
      </c>
      <c r="J43" t="s">
        <v>100</v>
      </c>
    </row>
    <row r="44" spans="1:10" x14ac:dyDescent="0.25">
      <c r="C44" t="s">
        <v>317</v>
      </c>
      <c r="D44" t="s">
        <v>797</v>
      </c>
      <c r="G44" t="s">
        <v>110</v>
      </c>
      <c r="J44" t="s">
        <v>102</v>
      </c>
    </row>
    <row r="45" spans="1:10" x14ac:dyDescent="0.25">
      <c r="D45" t="s">
        <v>319</v>
      </c>
      <c r="G45" t="s">
        <v>112</v>
      </c>
      <c r="J45" t="s">
        <v>104</v>
      </c>
    </row>
    <row r="46" spans="1:10" x14ac:dyDescent="0.25">
      <c r="D46" t="s">
        <v>329</v>
      </c>
      <c r="G46" t="s">
        <v>114</v>
      </c>
      <c r="J46" t="s">
        <v>106</v>
      </c>
    </row>
    <row r="47" spans="1:10" x14ac:dyDescent="0.25">
      <c r="D47" t="s">
        <v>337</v>
      </c>
      <c r="G47" t="s">
        <v>118</v>
      </c>
      <c r="I47" t="s">
        <v>108</v>
      </c>
      <c r="J47" t="s">
        <v>797</v>
      </c>
    </row>
    <row r="48" spans="1:10" x14ac:dyDescent="0.25">
      <c r="D48" t="s">
        <v>340</v>
      </c>
      <c r="G48" t="s">
        <v>120</v>
      </c>
      <c r="J48" t="s">
        <v>110</v>
      </c>
    </row>
    <row r="49" spans="3:10" x14ac:dyDescent="0.25">
      <c r="D49" t="s">
        <v>343</v>
      </c>
      <c r="G49" t="s">
        <v>122</v>
      </c>
      <c r="J49" t="s">
        <v>112</v>
      </c>
    </row>
    <row r="50" spans="3:10" x14ac:dyDescent="0.25">
      <c r="D50" t="s">
        <v>353</v>
      </c>
      <c r="G50" t="s">
        <v>124</v>
      </c>
      <c r="J50" t="s">
        <v>114</v>
      </c>
    </row>
    <row r="51" spans="3:10" x14ac:dyDescent="0.25">
      <c r="D51" t="s">
        <v>356</v>
      </c>
      <c r="G51" t="s">
        <v>126</v>
      </c>
      <c r="I51" t="s">
        <v>116</v>
      </c>
      <c r="J51" t="s">
        <v>797</v>
      </c>
    </row>
    <row r="52" spans="3:10" x14ac:dyDescent="0.25">
      <c r="C52" t="s">
        <v>359</v>
      </c>
      <c r="D52" t="s">
        <v>797</v>
      </c>
      <c r="G52" t="s">
        <v>128</v>
      </c>
      <c r="J52" t="s">
        <v>118</v>
      </c>
    </row>
    <row r="53" spans="3:10" x14ac:dyDescent="0.25">
      <c r="D53" t="s">
        <v>361</v>
      </c>
      <c r="G53" t="s">
        <v>132</v>
      </c>
      <c r="J53" t="s">
        <v>120</v>
      </c>
    </row>
    <row r="54" spans="3:10" x14ac:dyDescent="0.25">
      <c r="D54" t="s">
        <v>369</v>
      </c>
      <c r="G54" t="s">
        <v>134</v>
      </c>
      <c r="J54" t="s">
        <v>122</v>
      </c>
    </row>
    <row r="55" spans="3:10" x14ac:dyDescent="0.25">
      <c r="D55" t="s">
        <v>372</v>
      </c>
      <c r="G55" t="s">
        <v>136</v>
      </c>
      <c r="J55" t="s">
        <v>124</v>
      </c>
    </row>
    <row r="56" spans="3:10" x14ac:dyDescent="0.25">
      <c r="D56" t="s">
        <v>380</v>
      </c>
      <c r="G56" t="s">
        <v>140</v>
      </c>
      <c r="J56" t="s">
        <v>126</v>
      </c>
    </row>
    <row r="57" spans="3:10" x14ac:dyDescent="0.25">
      <c r="D57" t="s">
        <v>398</v>
      </c>
      <c r="G57" t="s">
        <v>142</v>
      </c>
      <c r="J57" t="s">
        <v>128</v>
      </c>
    </row>
    <row r="58" spans="3:10" x14ac:dyDescent="0.25">
      <c r="D58" t="s">
        <v>406</v>
      </c>
      <c r="G58" t="s">
        <v>144</v>
      </c>
      <c r="I58" t="s">
        <v>130</v>
      </c>
      <c r="J58" t="s">
        <v>797</v>
      </c>
    </row>
    <row r="59" spans="3:10" x14ac:dyDescent="0.25">
      <c r="C59" t="s">
        <v>409</v>
      </c>
      <c r="D59" t="s">
        <v>797</v>
      </c>
      <c r="G59" t="s">
        <v>148</v>
      </c>
      <c r="J59" t="s">
        <v>132</v>
      </c>
    </row>
    <row r="60" spans="3:10" x14ac:dyDescent="0.25">
      <c r="D60" t="s">
        <v>411</v>
      </c>
      <c r="G60" t="s">
        <v>150</v>
      </c>
      <c r="J60" t="s">
        <v>134</v>
      </c>
    </row>
    <row r="61" spans="3:10" x14ac:dyDescent="0.25">
      <c r="D61" t="s">
        <v>414</v>
      </c>
      <c r="G61" t="s">
        <v>152</v>
      </c>
      <c r="J61" t="s">
        <v>136</v>
      </c>
    </row>
    <row r="62" spans="3:10" x14ac:dyDescent="0.25">
      <c r="D62" t="s">
        <v>424</v>
      </c>
      <c r="G62" t="s">
        <v>154</v>
      </c>
      <c r="I62" t="s">
        <v>138</v>
      </c>
      <c r="J62" t="s">
        <v>797</v>
      </c>
    </row>
    <row r="63" spans="3:10" x14ac:dyDescent="0.25">
      <c r="C63" t="s">
        <v>427</v>
      </c>
      <c r="D63" t="s">
        <v>797</v>
      </c>
      <c r="G63" t="s">
        <v>159</v>
      </c>
      <c r="J63" t="s">
        <v>140</v>
      </c>
    </row>
    <row r="64" spans="3:10" x14ac:dyDescent="0.25">
      <c r="D64" t="s">
        <v>429</v>
      </c>
      <c r="G64" t="s">
        <v>161</v>
      </c>
      <c r="J64" t="s">
        <v>142</v>
      </c>
    </row>
    <row r="65" spans="3:10" x14ac:dyDescent="0.25">
      <c r="D65" t="s">
        <v>437</v>
      </c>
      <c r="G65" t="s">
        <v>163</v>
      </c>
      <c r="J65" t="s">
        <v>144</v>
      </c>
    </row>
    <row r="66" spans="3:10" x14ac:dyDescent="0.25">
      <c r="D66" t="s">
        <v>445</v>
      </c>
      <c r="G66" t="s">
        <v>165</v>
      </c>
      <c r="I66" t="s">
        <v>146</v>
      </c>
      <c r="J66" t="s">
        <v>797</v>
      </c>
    </row>
    <row r="67" spans="3:10" x14ac:dyDescent="0.25">
      <c r="D67" t="s">
        <v>453</v>
      </c>
      <c r="G67" t="s">
        <v>167</v>
      </c>
      <c r="J67" t="s">
        <v>148</v>
      </c>
    </row>
    <row r="68" spans="3:10" x14ac:dyDescent="0.25">
      <c r="D68" t="s">
        <v>456</v>
      </c>
      <c r="G68" t="s">
        <v>169</v>
      </c>
      <c r="J68" t="s">
        <v>150</v>
      </c>
    </row>
    <row r="69" spans="3:10" x14ac:dyDescent="0.25">
      <c r="D69" t="s">
        <v>464</v>
      </c>
      <c r="G69" t="s">
        <v>171</v>
      </c>
      <c r="J69" t="s">
        <v>152</v>
      </c>
    </row>
    <row r="70" spans="3:10" x14ac:dyDescent="0.25">
      <c r="D70" t="s">
        <v>467</v>
      </c>
      <c r="G70" t="s">
        <v>175</v>
      </c>
      <c r="I70" t="s">
        <v>154</v>
      </c>
      <c r="J70" t="s">
        <v>798</v>
      </c>
    </row>
    <row r="71" spans="3:10" x14ac:dyDescent="0.25">
      <c r="D71" t="s">
        <v>477</v>
      </c>
      <c r="G71" t="s">
        <v>177</v>
      </c>
      <c r="I71" t="s">
        <v>157</v>
      </c>
      <c r="J71" t="s">
        <v>797</v>
      </c>
    </row>
    <row r="72" spans="3:10" x14ac:dyDescent="0.25">
      <c r="D72" t="s">
        <v>480</v>
      </c>
      <c r="G72" t="s">
        <v>179</v>
      </c>
      <c r="J72" t="s">
        <v>159</v>
      </c>
    </row>
    <row r="73" spans="3:10" x14ac:dyDescent="0.25">
      <c r="C73" t="s">
        <v>483</v>
      </c>
      <c r="D73" t="s">
        <v>797</v>
      </c>
      <c r="G73" t="s">
        <v>183</v>
      </c>
      <c r="J73" t="s">
        <v>161</v>
      </c>
    </row>
    <row r="74" spans="3:10" x14ac:dyDescent="0.25">
      <c r="D74" t="s">
        <v>485</v>
      </c>
      <c r="G74" t="s">
        <v>185</v>
      </c>
      <c r="J74" t="s">
        <v>163</v>
      </c>
    </row>
    <row r="75" spans="3:10" x14ac:dyDescent="0.25">
      <c r="D75" t="s">
        <v>493</v>
      </c>
      <c r="G75" t="s">
        <v>187</v>
      </c>
      <c r="J75" t="s">
        <v>165</v>
      </c>
    </row>
    <row r="76" spans="3:10" x14ac:dyDescent="0.25">
      <c r="D76" t="s">
        <v>501</v>
      </c>
      <c r="G76" t="s">
        <v>189</v>
      </c>
      <c r="J76" t="s">
        <v>167</v>
      </c>
    </row>
    <row r="77" spans="3:10" x14ac:dyDescent="0.25">
      <c r="D77" t="s">
        <v>509</v>
      </c>
      <c r="G77" t="s">
        <v>191</v>
      </c>
      <c r="J77" t="s">
        <v>169</v>
      </c>
    </row>
    <row r="78" spans="3:10" x14ac:dyDescent="0.25">
      <c r="D78" t="s">
        <v>512</v>
      </c>
      <c r="G78" t="s">
        <v>195</v>
      </c>
      <c r="J78" t="s">
        <v>171</v>
      </c>
    </row>
    <row r="79" spans="3:10" x14ac:dyDescent="0.25">
      <c r="D79" t="s">
        <v>515</v>
      </c>
      <c r="G79" t="s">
        <v>197</v>
      </c>
      <c r="I79" t="s">
        <v>173</v>
      </c>
      <c r="J79" t="s">
        <v>797</v>
      </c>
    </row>
    <row r="80" spans="3:10" x14ac:dyDescent="0.25">
      <c r="D80" t="s">
        <v>523</v>
      </c>
      <c r="G80" t="s">
        <v>199</v>
      </c>
      <c r="J80" t="s">
        <v>175</v>
      </c>
    </row>
    <row r="81" spans="3:10" x14ac:dyDescent="0.25">
      <c r="D81" t="s">
        <v>531</v>
      </c>
      <c r="G81" t="s">
        <v>201</v>
      </c>
      <c r="J81" t="s">
        <v>177</v>
      </c>
    </row>
    <row r="82" spans="3:10" x14ac:dyDescent="0.25">
      <c r="C82" t="s">
        <v>534</v>
      </c>
      <c r="D82" t="s">
        <v>797</v>
      </c>
      <c r="G82" t="s">
        <v>203</v>
      </c>
      <c r="J82" t="s">
        <v>179</v>
      </c>
    </row>
    <row r="83" spans="3:10" x14ac:dyDescent="0.25">
      <c r="D83" t="s">
        <v>536</v>
      </c>
      <c r="G83" t="s">
        <v>207</v>
      </c>
      <c r="I83" t="s">
        <v>181</v>
      </c>
      <c r="J83" t="s">
        <v>797</v>
      </c>
    </row>
    <row r="84" spans="3:10" x14ac:dyDescent="0.25">
      <c r="D84" t="s">
        <v>548</v>
      </c>
      <c r="G84" t="s">
        <v>209</v>
      </c>
      <c r="J84" t="s">
        <v>183</v>
      </c>
    </row>
    <row r="85" spans="3:10" x14ac:dyDescent="0.25">
      <c r="D85" t="s">
        <v>558</v>
      </c>
      <c r="G85" t="s">
        <v>211</v>
      </c>
      <c r="J85" t="s">
        <v>185</v>
      </c>
    </row>
    <row r="86" spans="3:10" x14ac:dyDescent="0.25">
      <c r="D86" t="s">
        <v>566</v>
      </c>
      <c r="G86" t="s">
        <v>213</v>
      </c>
      <c r="J86" t="s">
        <v>187</v>
      </c>
    </row>
    <row r="87" spans="3:10" x14ac:dyDescent="0.25">
      <c r="C87" t="s">
        <v>569</v>
      </c>
      <c r="D87" t="s">
        <v>797</v>
      </c>
      <c r="G87" t="s">
        <v>215</v>
      </c>
      <c r="J87" t="s">
        <v>189</v>
      </c>
    </row>
    <row r="88" spans="3:10" x14ac:dyDescent="0.25">
      <c r="D88" t="s">
        <v>571</v>
      </c>
      <c r="G88" t="s">
        <v>217</v>
      </c>
      <c r="J88" t="s">
        <v>191</v>
      </c>
    </row>
    <row r="89" spans="3:10" x14ac:dyDescent="0.25">
      <c r="D89" t="s">
        <v>583</v>
      </c>
      <c r="G89" t="s">
        <v>221</v>
      </c>
      <c r="I89" t="s">
        <v>193</v>
      </c>
      <c r="J89" t="s">
        <v>797</v>
      </c>
    </row>
    <row r="90" spans="3:10" x14ac:dyDescent="0.25">
      <c r="D90" t="s">
        <v>591</v>
      </c>
      <c r="G90" t="s">
        <v>223</v>
      </c>
      <c r="J90" t="s">
        <v>195</v>
      </c>
    </row>
    <row r="91" spans="3:10" x14ac:dyDescent="0.25">
      <c r="C91" t="s">
        <v>594</v>
      </c>
      <c r="D91" t="s">
        <v>797</v>
      </c>
      <c r="G91" t="s">
        <v>225</v>
      </c>
      <c r="J91" t="s">
        <v>197</v>
      </c>
    </row>
    <row r="92" spans="3:10" x14ac:dyDescent="0.25">
      <c r="D92" t="s">
        <v>596</v>
      </c>
      <c r="G92" t="s">
        <v>229</v>
      </c>
      <c r="J92" t="s">
        <v>199</v>
      </c>
    </row>
    <row r="93" spans="3:10" x14ac:dyDescent="0.25">
      <c r="D93" t="s">
        <v>616</v>
      </c>
      <c r="G93" t="s">
        <v>231</v>
      </c>
      <c r="J93" t="s">
        <v>201</v>
      </c>
    </row>
    <row r="94" spans="3:10" x14ac:dyDescent="0.25">
      <c r="D94" t="s">
        <v>619</v>
      </c>
      <c r="G94" t="s">
        <v>233</v>
      </c>
      <c r="J94" t="s">
        <v>203</v>
      </c>
    </row>
    <row r="95" spans="3:10" x14ac:dyDescent="0.25">
      <c r="C95" t="s">
        <v>622</v>
      </c>
      <c r="D95" t="s">
        <v>797</v>
      </c>
      <c r="G95" t="s">
        <v>235</v>
      </c>
      <c r="I95" t="s">
        <v>205</v>
      </c>
      <c r="J95" t="s">
        <v>797</v>
      </c>
    </row>
    <row r="96" spans="3:10" x14ac:dyDescent="0.25">
      <c r="D96" t="s">
        <v>624</v>
      </c>
      <c r="G96" t="s">
        <v>237</v>
      </c>
      <c r="J96" t="s">
        <v>207</v>
      </c>
    </row>
    <row r="97" spans="3:10" x14ac:dyDescent="0.25">
      <c r="D97" t="s">
        <v>634</v>
      </c>
      <c r="G97" t="s">
        <v>239</v>
      </c>
      <c r="J97" t="s">
        <v>209</v>
      </c>
    </row>
    <row r="98" spans="3:10" x14ac:dyDescent="0.25">
      <c r="D98" t="s">
        <v>642</v>
      </c>
      <c r="G98" t="s">
        <v>241</v>
      </c>
      <c r="J98" t="s">
        <v>211</v>
      </c>
    </row>
    <row r="99" spans="3:10" x14ac:dyDescent="0.25">
      <c r="C99" t="s">
        <v>645</v>
      </c>
      <c r="D99" t="s">
        <v>797</v>
      </c>
      <c r="G99" t="s">
        <v>243</v>
      </c>
      <c r="J99" t="s">
        <v>213</v>
      </c>
    </row>
    <row r="100" spans="3:10" x14ac:dyDescent="0.25">
      <c r="D100" t="s">
        <v>647</v>
      </c>
      <c r="G100" t="s">
        <v>247</v>
      </c>
      <c r="J100" t="s">
        <v>215</v>
      </c>
    </row>
    <row r="101" spans="3:10" x14ac:dyDescent="0.25">
      <c r="D101" t="s">
        <v>661</v>
      </c>
      <c r="G101" t="s">
        <v>249</v>
      </c>
      <c r="J101" t="s">
        <v>217</v>
      </c>
    </row>
    <row r="102" spans="3:10" x14ac:dyDescent="0.25">
      <c r="D102" t="s">
        <v>664</v>
      </c>
      <c r="G102" t="s">
        <v>251</v>
      </c>
      <c r="I102" t="s">
        <v>219</v>
      </c>
      <c r="J102" t="s">
        <v>797</v>
      </c>
    </row>
    <row r="103" spans="3:10" x14ac:dyDescent="0.25">
      <c r="D103" t="s">
        <v>672</v>
      </c>
      <c r="G103" t="s">
        <v>253</v>
      </c>
      <c r="J103" t="s">
        <v>221</v>
      </c>
    </row>
    <row r="104" spans="3:10" x14ac:dyDescent="0.25">
      <c r="C104" t="s">
        <v>675</v>
      </c>
      <c r="D104" t="s">
        <v>797</v>
      </c>
      <c r="F104" t="s">
        <v>256</v>
      </c>
      <c r="G104" t="s">
        <v>797</v>
      </c>
      <c r="J104" t="s">
        <v>223</v>
      </c>
    </row>
    <row r="105" spans="3:10" x14ac:dyDescent="0.25">
      <c r="D105" t="s">
        <v>677</v>
      </c>
      <c r="G105" t="s">
        <v>260</v>
      </c>
      <c r="J105" t="s">
        <v>225</v>
      </c>
    </row>
    <row r="106" spans="3:10" x14ac:dyDescent="0.25">
      <c r="D106" t="s">
        <v>685</v>
      </c>
      <c r="G106" t="s">
        <v>262</v>
      </c>
      <c r="I106" t="s">
        <v>227</v>
      </c>
      <c r="J106" t="s">
        <v>797</v>
      </c>
    </row>
    <row r="107" spans="3:10" x14ac:dyDescent="0.25">
      <c r="D107" t="s">
        <v>688</v>
      </c>
      <c r="G107" t="s">
        <v>264</v>
      </c>
      <c r="J107" t="s">
        <v>229</v>
      </c>
    </row>
    <row r="108" spans="3:10" x14ac:dyDescent="0.25">
      <c r="D108" t="s">
        <v>695</v>
      </c>
      <c r="G108" t="s">
        <v>266</v>
      </c>
      <c r="J108" t="s">
        <v>231</v>
      </c>
    </row>
    <row r="109" spans="3:10" x14ac:dyDescent="0.25">
      <c r="C109" t="s">
        <v>698</v>
      </c>
      <c r="D109" t="s">
        <v>797</v>
      </c>
      <c r="G109" t="s">
        <v>268</v>
      </c>
      <c r="J109" t="s">
        <v>233</v>
      </c>
    </row>
    <row r="110" spans="3:10" x14ac:dyDescent="0.25">
      <c r="D110" t="s">
        <v>700</v>
      </c>
      <c r="G110" t="s">
        <v>270</v>
      </c>
      <c r="J110" t="s">
        <v>235</v>
      </c>
    </row>
    <row r="111" spans="3:10" x14ac:dyDescent="0.25">
      <c r="D111" t="s">
        <v>703</v>
      </c>
      <c r="G111" t="s">
        <v>273</v>
      </c>
      <c r="J111" t="s">
        <v>237</v>
      </c>
    </row>
    <row r="112" spans="3:10" x14ac:dyDescent="0.25">
      <c r="D112" t="s">
        <v>715</v>
      </c>
      <c r="G112" t="s">
        <v>278</v>
      </c>
      <c r="J112" t="s">
        <v>239</v>
      </c>
    </row>
    <row r="113" spans="3:10" x14ac:dyDescent="0.25">
      <c r="D113" t="s">
        <v>718</v>
      </c>
      <c r="G113" t="s">
        <v>280</v>
      </c>
      <c r="J113" t="s">
        <v>241</v>
      </c>
    </row>
    <row r="114" spans="3:10" x14ac:dyDescent="0.25">
      <c r="D114" t="s">
        <v>726</v>
      </c>
      <c r="G114" t="s">
        <v>282</v>
      </c>
      <c r="J114" t="s">
        <v>243</v>
      </c>
    </row>
    <row r="115" spans="3:10" x14ac:dyDescent="0.25">
      <c r="C115" t="s">
        <v>729</v>
      </c>
      <c r="D115" t="s">
        <v>797</v>
      </c>
      <c r="G115" t="s">
        <v>284</v>
      </c>
      <c r="I115" t="s">
        <v>245</v>
      </c>
      <c r="J115" t="s">
        <v>797</v>
      </c>
    </row>
    <row r="116" spans="3:10" x14ac:dyDescent="0.25">
      <c r="D116" t="s">
        <v>731</v>
      </c>
      <c r="F116" t="s">
        <v>287</v>
      </c>
      <c r="G116" t="s">
        <v>797</v>
      </c>
      <c r="J116" t="s">
        <v>247</v>
      </c>
    </row>
    <row r="117" spans="3:10" x14ac:dyDescent="0.25">
      <c r="D117" t="s">
        <v>739</v>
      </c>
      <c r="G117" t="s">
        <v>291</v>
      </c>
      <c r="J117" t="s">
        <v>249</v>
      </c>
    </row>
    <row r="118" spans="3:10" x14ac:dyDescent="0.25">
      <c r="D118" t="s">
        <v>742</v>
      </c>
      <c r="G118" t="s">
        <v>293</v>
      </c>
      <c r="J118" t="s">
        <v>251</v>
      </c>
    </row>
    <row r="119" spans="3:10" x14ac:dyDescent="0.25">
      <c r="D119" t="s">
        <v>752</v>
      </c>
      <c r="G119" t="s">
        <v>295</v>
      </c>
      <c r="I119" t="s">
        <v>253</v>
      </c>
      <c r="J119" t="s">
        <v>798</v>
      </c>
    </row>
    <row r="120" spans="3:10" x14ac:dyDescent="0.25">
      <c r="D120" t="s">
        <v>755</v>
      </c>
      <c r="G120" t="s">
        <v>297</v>
      </c>
      <c r="I120" t="s">
        <v>258</v>
      </c>
      <c r="J120" t="s">
        <v>797</v>
      </c>
    </row>
    <row r="121" spans="3:10" x14ac:dyDescent="0.25">
      <c r="C121" t="s">
        <v>758</v>
      </c>
      <c r="D121" t="s">
        <v>797</v>
      </c>
      <c r="G121" t="s">
        <v>302</v>
      </c>
      <c r="J121" t="s">
        <v>260</v>
      </c>
    </row>
    <row r="122" spans="3:10" x14ac:dyDescent="0.25">
      <c r="D122" t="s">
        <v>760</v>
      </c>
      <c r="G122" t="s">
        <v>304</v>
      </c>
      <c r="J122" t="s">
        <v>262</v>
      </c>
    </row>
    <row r="123" spans="3:10" x14ac:dyDescent="0.25">
      <c r="D123" t="s">
        <v>770</v>
      </c>
      <c r="G123" t="s">
        <v>306</v>
      </c>
      <c r="J123" t="s">
        <v>264</v>
      </c>
    </row>
    <row r="124" spans="3:10" x14ac:dyDescent="0.25">
      <c r="D124" t="s">
        <v>784</v>
      </c>
      <c r="G124" t="s">
        <v>308</v>
      </c>
      <c r="J124" t="s">
        <v>266</v>
      </c>
    </row>
    <row r="125" spans="3:10" x14ac:dyDescent="0.25">
      <c r="D125" t="s">
        <v>787</v>
      </c>
      <c r="G125" t="s">
        <v>310</v>
      </c>
      <c r="J125" t="s">
        <v>268</v>
      </c>
    </row>
    <row r="126" spans="3:10" x14ac:dyDescent="0.25">
      <c r="C126" t="s">
        <v>800</v>
      </c>
      <c r="G126" t="s">
        <v>312</v>
      </c>
      <c r="I126" t="s">
        <v>270</v>
      </c>
      <c r="J126" t="s">
        <v>798</v>
      </c>
    </row>
    <row r="127" spans="3:10" x14ac:dyDescent="0.25">
      <c r="G127" t="s">
        <v>314</v>
      </c>
      <c r="I127" t="s">
        <v>273</v>
      </c>
      <c r="J127" t="s">
        <v>798</v>
      </c>
    </row>
    <row r="128" spans="3:10" x14ac:dyDescent="0.25">
      <c r="F128" t="s">
        <v>317</v>
      </c>
      <c r="G128" t="s">
        <v>797</v>
      </c>
      <c r="I128" t="s">
        <v>276</v>
      </c>
      <c r="J128" t="s">
        <v>797</v>
      </c>
    </row>
    <row r="129" spans="6:10" x14ac:dyDescent="0.25">
      <c r="G129" t="s">
        <v>321</v>
      </c>
      <c r="J129" t="s">
        <v>278</v>
      </c>
    </row>
    <row r="130" spans="6:10" x14ac:dyDescent="0.25">
      <c r="G130" t="s">
        <v>323</v>
      </c>
      <c r="J130" t="s">
        <v>280</v>
      </c>
    </row>
    <row r="131" spans="6:10" x14ac:dyDescent="0.25">
      <c r="G131" t="s">
        <v>325</v>
      </c>
      <c r="J131" t="s">
        <v>282</v>
      </c>
    </row>
    <row r="132" spans="6:10" x14ac:dyDescent="0.25">
      <c r="G132" t="s">
        <v>327</v>
      </c>
      <c r="I132" t="s">
        <v>284</v>
      </c>
      <c r="J132" t="s">
        <v>798</v>
      </c>
    </row>
    <row r="133" spans="6:10" x14ac:dyDescent="0.25">
      <c r="G133" t="s">
        <v>331</v>
      </c>
      <c r="I133" t="s">
        <v>289</v>
      </c>
      <c r="J133" t="s">
        <v>797</v>
      </c>
    </row>
    <row r="134" spans="6:10" x14ac:dyDescent="0.25">
      <c r="G134" t="s">
        <v>333</v>
      </c>
      <c r="J134" t="s">
        <v>291</v>
      </c>
    </row>
    <row r="135" spans="6:10" x14ac:dyDescent="0.25">
      <c r="G135" t="s">
        <v>335</v>
      </c>
      <c r="J135" t="s">
        <v>293</v>
      </c>
    </row>
    <row r="136" spans="6:10" x14ac:dyDescent="0.25">
      <c r="G136" t="s">
        <v>337</v>
      </c>
      <c r="J136" t="s">
        <v>295</v>
      </c>
    </row>
    <row r="137" spans="6:10" x14ac:dyDescent="0.25">
      <c r="G137" t="s">
        <v>340</v>
      </c>
      <c r="I137" t="s">
        <v>297</v>
      </c>
      <c r="J137" t="s">
        <v>798</v>
      </c>
    </row>
    <row r="138" spans="6:10" x14ac:dyDescent="0.25">
      <c r="G138" t="s">
        <v>345</v>
      </c>
      <c r="I138" t="s">
        <v>300</v>
      </c>
      <c r="J138" t="s">
        <v>797</v>
      </c>
    </row>
    <row r="139" spans="6:10" x14ac:dyDescent="0.25">
      <c r="G139" t="s">
        <v>347</v>
      </c>
      <c r="J139" t="s">
        <v>302</v>
      </c>
    </row>
    <row r="140" spans="6:10" x14ac:dyDescent="0.25">
      <c r="G140" t="s">
        <v>349</v>
      </c>
      <c r="J140" t="s">
        <v>304</v>
      </c>
    </row>
    <row r="141" spans="6:10" x14ac:dyDescent="0.25">
      <c r="G141" t="s">
        <v>351</v>
      </c>
      <c r="J141" t="s">
        <v>306</v>
      </c>
    </row>
    <row r="142" spans="6:10" x14ac:dyDescent="0.25">
      <c r="G142" t="s">
        <v>353</v>
      </c>
      <c r="J142" t="s">
        <v>308</v>
      </c>
    </row>
    <row r="143" spans="6:10" x14ac:dyDescent="0.25">
      <c r="G143" t="s">
        <v>356</v>
      </c>
      <c r="J143" t="s">
        <v>310</v>
      </c>
    </row>
    <row r="144" spans="6:10" x14ac:dyDescent="0.25">
      <c r="F144" t="s">
        <v>359</v>
      </c>
      <c r="G144" t="s">
        <v>797</v>
      </c>
      <c r="J144" t="s">
        <v>312</v>
      </c>
    </row>
    <row r="145" spans="7:10" x14ac:dyDescent="0.25">
      <c r="G145" t="s">
        <v>363</v>
      </c>
      <c r="I145" t="s">
        <v>314</v>
      </c>
      <c r="J145" t="s">
        <v>798</v>
      </c>
    </row>
    <row r="146" spans="7:10" x14ac:dyDescent="0.25">
      <c r="G146" t="s">
        <v>365</v>
      </c>
      <c r="I146" t="s">
        <v>319</v>
      </c>
      <c r="J146" t="s">
        <v>797</v>
      </c>
    </row>
    <row r="147" spans="7:10" x14ac:dyDescent="0.25">
      <c r="G147" t="s">
        <v>367</v>
      </c>
      <c r="J147" t="s">
        <v>321</v>
      </c>
    </row>
    <row r="148" spans="7:10" x14ac:dyDescent="0.25">
      <c r="G148" t="s">
        <v>369</v>
      </c>
      <c r="J148" t="s">
        <v>323</v>
      </c>
    </row>
    <row r="149" spans="7:10" x14ac:dyDescent="0.25">
      <c r="G149" t="s">
        <v>374</v>
      </c>
      <c r="J149" t="s">
        <v>325</v>
      </c>
    </row>
    <row r="150" spans="7:10" x14ac:dyDescent="0.25">
      <c r="G150" t="s">
        <v>376</v>
      </c>
      <c r="J150" t="s">
        <v>327</v>
      </c>
    </row>
    <row r="151" spans="7:10" x14ac:dyDescent="0.25">
      <c r="G151" t="s">
        <v>378</v>
      </c>
      <c r="I151" t="s">
        <v>329</v>
      </c>
      <c r="J151" t="s">
        <v>797</v>
      </c>
    </row>
    <row r="152" spans="7:10" x14ac:dyDescent="0.25">
      <c r="G152" t="s">
        <v>382</v>
      </c>
      <c r="J152" t="s">
        <v>331</v>
      </c>
    </row>
    <row r="153" spans="7:10" x14ac:dyDescent="0.25">
      <c r="G153" t="s">
        <v>384</v>
      </c>
      <c r="J153" t="s">
        <v>333</v>
      </c>
    </row>
    <row r="154" spans="7:10" x14ac:dyDescent="0.25">
      <c r="G154" t="s">
        <v>386</v>
      </c>
      <c r="J154" t="s">
        <v>335</v>
      </c>
    </row>
    <row r="155" spans="7:10" x14ac:dyDescent="0.25">
      <c r="G155" t="s">
        <v>388</v>
      </c>
      <c r="I155" t="s">
        <v>337</v>
      </c>
      <c r="J155" t="s">
        <v>798</v>
      </c>
    </row>
    <row r="156" spans="7:10" x14ac:dyDescent="0.25">
      <c r="G156" t="s">
        <v>390</v>
      </c>
      <c r="I156" t="s">
        <v>340</v>
      </c>
      <c r="J156" t="s">
        <v>798</v>
      </c>
    </row>
    <row r="157" spans="7:10" x14ac:dyDescent="0.25">
      <c r="G157" t="s">
        <v>392</v>
      </c>
      <c r="I157" t="s">
        <v>343</v>
      </c>
      <c r="J157" t="s">
        <v>797</v>
      </c>
    </row>
    <row r="158" spans="7:10" x14ac:dyDescent="0.25">
      <c r="G158" t="s">
        <v>394</v>
      </c>
      <c r="J158" t="s">
        <v>345</v>
      </c>
    </row>
    <row r="159" spans="7:10" x14ac:dyDescent="0.25">
      <c r="G159" t="s">
        <v>396</v>
      </c>
      <c r="J159" t="s">
        <v>347</v>
      </c>
    </row>
    <row r="160" spans="7:10" x14ac:dyDescent="0.25">
      <c r="G160" t="s">
        <v>400</v>
      </c>
      <c r="J160" t="s">
        <v>349</v>
      </c>
    </row>
    <row r="161" spans="6:10" x14ac:dyDescent="0.25">
      <c r="G161" t="s">
        <v>402</v>
      </c>
      <c r="J161" t="s">
        <v>351</v>
      </c>
    </row>
    <row r="162" spans="6:10" x14ac:dyDescent="0.25">
      <c r="G162" t="s">
        <v>404</v>
      </c>
      <c r="I162" t="s">
        <v>353</v>
      </c>
      <c r="J162" t="s">
        <v>798</v>
      </c>
    </row>
    <row r="163" spans="6:10" x14ac:dyDescent="0.25">
      <c r="G163" t="s">
        <v>406</v>
      </c>
      <c r="I163" t="s">
        <v>356</v>
      </c>
      <c r="J163" t="s">
        <v>798</v>
      </c>
    </row>
    <row r="164" spans="6:10" x14ac:dyDescent="0.25">
      <c r="F164" t="s">
        <v>409</v>
      </c>
      <c r="G164" t="s">
        <v>797</v>
      </c>
      <c r="I164" t="s">
        <v>361</v>
      </c>
      <c r="J164" t="s">
        <v>797</v>
      </c>
    </row>
    <row r="165" spans="6:10" x14ac:dyDescent="0.25">
      <c r="G165" t="s">
        <v>411</v>
      </c>
      <c r="J165" t="s">
        <v>363</v>
      </c>
    </row>
    <row r="166" spans="6:10" x14ac:dyDescent="0.25">
      <c r="G166" t="s">
        <v>416</v>
      </c>
      <c r="J166" t="s">
        <v>365</v>
      </c>
    </row>
    <row r="167" spans="6:10" x14ac:dyDescent="0.25">
      <c r="G167" t="s">
        <v>418</v>
      </c>
      <c r="J167" t="s">
        <v>367</v>
      </c>
    </row>
    <row r="168" spans="6:10" x14ac:dyDescent="0.25">
      <c r="G168" t="s">
        <v>420</v>
      </c>
      <c r="I168" t="s">
        <v>369</v>
      </c>
      <c r="J168" t="s">
        <v>798</v>
      </c>
    </row>
    <row r="169" spans="6:10" x14ac:dyDescent="0.25">
      <c r="G169" t="s">
        <v>422</v>
      </c>
      <c r="I169" t="s">
        <v>372</v>
      </c>
      <c r="J169" t="s">
        <v>797</v>
      </c>
    </row>
    <row r="170" spans="6:10" x14ac:dyDescent="0.25">
      <c r="G170" t="s">
        <v>424</v>
      </c>
      <c r="J170" t="s">
        <v>374</v>
      </c>
    </row>
    <row r="171" spans="6:10" x14ac:dyDescent="0.25">
      <c r="F171" t="s">
        <v>427</v>
      </c>
      <c r="G171" t="s">
        <v>797</v>
      </c>
      <c r="J171" t="s">
        <v>376</v>
      </c>
    </row>
    <row r="172" spans="6:10" x14ac:dyDescent="0.25">
      <c r="G172" t="s">
        <v>431</v>
      </c>
      <c r="J172" t="s">
        <v>378</v>
      </c>
    </row>
    <row r="173" spans="6:10" x14ac:dyDescent="0.25">
      <c r="G173" t="s">
        <v>433</v>
      </c>
      <c r="I173" t="s">
        <v>380</v>
      </c>
      <c r="J173" t="s">
        <v>797</v>
      </c>
    </row>
    <row r="174" spans="6:10" x14ac:dyDescent="0.25">
      <c r="G174" t="s">
        <v>435</v>
      </c>
      <c r="J174" t="s">
        <v>382</v>
      </c>
    </row>
    <row r="175" spans="6:10" x14ac:dyDescent="0.25">
      <c r="G175" t="s">
        <v>439</v>
      </c>
      <c r="J175" t="s">
        <v>384</v>
      </c>
    </row>
    <row r="176" spans="6:10" x14ac:dyDescent="0.25">
      <c r="G176" t="s">
        <v>441</v>
      </c>
      <c r="J176" t="s">
        <v>386</v>
      </c>
    </row>
    <row r="177" spans="6:10" x14ac:dyDescent="0.25">
      <c r="G177" t="s">
        <v>443</v>
      </c>
      <c r="J177" t="s">
        <v>388</v>
      </c>
    </row>
    <row r="178" spans="6:10" x14ac:dyDescent="0.25">
      <c r="G178" t="s">
        <v>447</v>
      </c>
      <c r="J178" t="s">
        <v>390</v>
      </c>
    </row>
    <row r="179" spans="6:10" x14ac:dyDescent="0.25">
      <c r="G179" t="s">
        <v>449</v>
      </c>
      <c r="J179" t="s">
        <v>392</v>
      </c>
    </row>
    <row r="180" spans="6:10" x14ac:dyDescent="0.25">
      <c r="G180" t="s">
        <v>451</v>
      </c>
      <c r="J180" t="s">
        <v>394</v>
      </c>
    </row>
    <row r="181" spans="6:10" x14ac:dyDescent="0.25">
      <c r="G181" t="s">
        <v>453</v>
      </c>
      <c r="J181" t="s">
        <v>396</v>
      </c>
    </row>
    <row r="182" spans="6:10" x14ac:dyDescent="0.25">
      <c r="G182" t="s">
        <v>458</v>
      </c>
      <c r="I182" t="s">
        <v>398</v>
      </c>
      <c r="J182" t="s">
        <v>797</v>
      </c>
    </row>
    <row r="183" spans="6:10" x14ac:dyDescent="0.25">
      <c r="G183" t="s">
        <v>460</v>
      </c>
      <c r="J183" t="s">
        <v>400</v>
      </c>
    </row>
    <row r="184" spans="6:10" x14ac:dyDescent="0.25">
      <c r="G184" t="s">
        <v>462</v>
      </c>
      <c r="J184" t="s">
        <v>402</v>
      </c>
    </row>
    <row r="185" spans="6:10" x14ac:dyDescent="0.25">
      <c r="G185" t="s">
        <v>464</v>
      </c>
      <c r="J185" t="s">
        <v>404</v>
      </c>
    </row>
    <row r="186" spans="6:10" x14ac:dyDescent="0.25">
      <c r="G186" t="s">
        <v>469</v>
      </c>
      <c r="I186" t="s">
        <v>406</v>
      </c>
      <c r="J186" t="s">
        <v>798</v>
      </c>
    </row>
    <row r="187" spans="6:10" x14ac:dyDescent="0.25">
      <c r="G187" t="s">
        <v>471</v>
      </c>
      <c r="I187" t="s">
        <v>411</v>
      </c>
      <c r="J187" t="s">
        <v>798</v>
      </c>
    </row>
    <row r="188" spans="6:10" x14ac:dyDescent="0.25">
      <c r="G188" t="s">
        <v>473</v>
      </c>
      <c r="I188" t="s">
        <v>414</v>
      </c>
      <c r="J188" t="s">
        <v>797</v>
      </c>
    </row>
    <row r="189" spans="6:10" x14ac:dyDescent="0.25">
      <c r="G189" t="s">
        <v>475</v>
      </c>
      <c r="J189" t="s">
        <v>416</v>
      </c>
    </row>
    <row r="190" spans="6:10" x14ac:dyDescent="0.25">
      <c r="G190" t="s">
        <v>477</v>
      </c>
      <c r="J190" t="s">
        <v>418</v>
      </c>
    </row>
    <row r="191" spans="6:10" x14ac:dyDescent="0.25">
      <c r="G191" t="s">
        <v>480</v>
      </c>
      <c r="J191" t="s">
        <v>420</v>
      </c>
    </row>
    <row r="192" spans="6:10" x14ac:dyDescent="0.25">
      <c r="F192" t="s">
        <v>483</v>
      </c>
      <c r="G192" t="s">
        <v>797</v>
      </c>
      <c r="J192" t="s">
        <v>422</v>
      </c>
    </row>
    <row r="193" spans="7:10" x14ac:dyDescent="0.25">
      <c r="G193" t="s">
        <v>487</v>
      </c>
      <c r="I193" t="s">
        <v>424</v>
      </c>
      <c r="J193" t="s">
        <v>798</v>
      </c>
    </row>
    <row r="194" spans="7:10" x14ac:dyDescent="0.25">
      <c r="G194" t="s">
        <v>489</v>
      </c>
      <c r="I194" t="s">
        <v>429</v>
      </c>
      <c r="J194" t="s">
        <v>797</v>
      </c>
    </row>
    <row r="195" spans="7:10" x14ac:dyDescent="0.25">
      <c r="G195" t="s">
        <v>491</v>
      </c>
      <c r="J195" t="s">
        <v>431</v>
      </c>
    </row>
    <row r="196" spans="7:10" x14ac:dyDescent="0.25">
      <c r="G196" t="s">
        <v>495</v>
      </c>
      <c r="J196" t="s">
        <v>433</v>
      </c>
    </row>
    <row r="197" spans="7:10" x14ac:dyDescent="0.25">
      <c r="G197" t="s">
        <v>497</v>
      </c>
      <c r="J197" t="s">
        <v>435</v>
      </c>
    </row>
    <row r="198" spans="7:10" x14ac:dyDescent="0.25">
      <c r="G198" t="s">
        <v>499</v>
      </c>
      <c r="I198" t="s">
        <v>437</v>
      </c>
      <c r="J198" t="s">
        <v>797</v>
      </c>
    </row>
    <row r="199" spans="7:10" x14ac:dyDescent="0.25">
      <c r="G199" t="s">
        <v>503</v>
      </c>
      <c r="J199" t="s">
        <v>439</v>
      </c>
    </row>
    <row r="200" spans="7:10" x14ac:dyDescent="0.25">
      <c r="G200" t="s">
        <v>505</v>
      </c>
      <c r="J200" t="s">
        <v>441</v>
      </c>
    </row>
    <row r="201" spans="7:10" x14ac:dyDescent="0.25">
      <c r="G201" t="s">
        <v>507</v>
      </c>
      <c r="J201" t="s">
        <v>443</v>
      </c>
    </row>
    <row r="202" spans="7:10" x14ac:dyDescent="0.25">
      <c r="G202" t="s">
        <v>509</v>
      </c>
      <c r="I202" t="s">
        <v>445</v>
      </c>
      <c r="J202" t="s">
        <v>797</v>
      </c>
    </row>
    <row r="203" spans="7:10" x14ac:dyDescent="0.25">
      <c r="G203" t="s">
        <v>512</v>
      </c>
      <c r="J203" t="s">
        <v>447</v>
      </c>
    </row>
    <row r="204" spans="7:10" x14ac:dyDescent="0.25">
      <c r="G204" t="s">
        <v>517</v>
      </c>
      <c r="J204" t="s">
        <v>449</v>
      </c>
    </row>
    <row r="205" spans="7:10" x14ac:dyDescent="0.25">
      <c r="G205" t="s">
        <v>519</v>
      </c>
      <c r="J205" t="s">
        <v>451</v>
      </c>
    </row>
    <row r="206" spans="7:10" x14ac:dyDescent="0.25">
      <c r="G206" t="s">
        <v>521</v>
      </c>
      <c r="I206" t="s">
        <v>453</v>
      </c>
      <c r="J206" t="s">
        <v>798</v>
      </c>
    </row>
    <row r="207" spans="7:10" x14ac:dyDescent="0.25">
      <c r="G207" t="s">
        <v>525</v>
      </c>
      <c r="I207" t="s">
        <v>456</v>
      </c>
      <c r="J207" t="s">
        <v>797</v>
      </c>
    </row>
    <row r="208" spans="7:10" x14ac:dyDescent="0.25">
      <c r="G208" t="s">
        <v>527</v>
      </c>
      <c r="J208" t="s">
        <v>458</v>
      </c>
    </row>
    <row r="209" spans="6:10" x14ac:dyDescent="0.25">
      <c r="G209" t="s">
        <v>529</v>
      </c>
      <c r="J209" t="s">
        <v>460</v>
      </c>
    </row>
    <row r="210" spans="6:10" x14ac:dyDescent="0.25">
      <c r="G210" t="s">
        <v>531</v>
      </c>
      <c r="J210" t="s">
        <v>462</v>
      </c>
    </row>
    <row r="211" spans="6:10" x14ac:dyDescent="0.25">
      <c r="F211" t="s">
        <v>534</v>
      </c>
      <c r="G211" t="s">
        <v>797</v>
      </c>
      <c r="I211" t="s">
        <v>464</v>
      </c>
      <c r="J211" t="s">
        <v>798</v>
      </c>
    </row>
    <row r="212" spans="6:10" x14ac:dyDescent="0.25">
      <c r="G212" t="s">
        <v>538</v>
      </c>
      <c r="I212" t="s">
        <v>467</v>
      </c>
      <c r="J212" t="s">
        <v>797</v>
      </c>
    </row>
    <row r="213" spans="6:10" x14ac:dyDescent="0.25">
      <c r="G213" t="s">
        <v>540</v>
      </c>
      <c r="J213" t="s">
        <v>469</v>
      </c>
    </row>
    <row r="214" spans="6:10" x14ac:dyDescent="0.25">
      <c r="G214" t="s">
        <v>542</v>
      </c>
      <c r="J214" t="s">
        <v>471</v>
      </c>
    </row>
    <row r="215" spans="6:10" x14ac:dyDescent="0.25">
      <c r="G215" t="s">
        <v>544</v>
      </c>
      <c r="J215" t="s">
        <v>473</v>
      </c>
    </row>
    <row r="216" spans="6:10" x14ac:dyDescent="0.25">
      <c r="G216" t="s">
        <v>546</v>
      </c>
      <c r="J216" t="s">
        <v>475</v>
      </c>
    </row>
    <row r="217" spans="6:10" x14ac:dyDescent="0.25">
      <c r="G217" t="s">
        <v>550</v>
      </c>
      <c r="I217" t="s">
        <v>477</v>
      </c>
      <c r="J217" t="s">
        <v>798</v>
      </c>
    </row>
    <row r="218" spans="6:10" x14ac:dyDescent="0.25">
      <c r="G218" t="s">
        <v>552</v>
      </c>
      <c r="I218" t="s">
        <v>480</v>
      </c>
      <c r="J218" t="s">
        <v>798</v>
      </c>
    </row>
    <row r="219" spans="6:10" x14ac:dyDescent="0.25">
      <c r="G219" t="s">
        <v>554</v>
      </c>
      <c r="I219" t="s">
        <v>485</v>
      </c>
      <c r="J219" t="s">
        <v>797</v>
      </c>
    </row>
    <row r="220" spans="6:10" x14ac:dyDescent="0.25">
      <c r="G220" t="s">
        <v>556</v>
      </c>
      <c r="J220" t="s">
        <v>487</v>
      </c>
    </row>
    <row r="221" spans="6:10" x14ac:dyDescent="0.25">
      <c r="G221" t="s">
        <v>560</v>
      </c>
      <c r="J221" t="s">
        <v>489</v>
      </c>
    </row>
    <row r="222" spans="6:10" x14ac:dyDescent="0.25">
      <c r="G222" t="s">
        <v>562</v>
      </c>
      <c r="J222" t="s">
        <v>491</v>
      </c>
    </row>
    <row r="223" spans="6:10" x14ac:dyDescent="0.25">
      <c r="G223" t="s">
        <v>564</v>
      </c>
      <c r="I223" t="s">
        <v>493</v>
      </c>
      <c r="J223" t="s">
        <v>797</v>
      </c>
    </row>
    <row r="224" spans="6:10" x14ac:dyDescent="0.25">
      <c r="G224" t="s">
        <v>566</v>
      </c>
      <c r="J224" t="s">
        <v>495</v>
      </c>
    </row>
    <row r="225" spans="6:10" x14ac:dyDescent="0.25">
      <c r="F225" t="s">
        <v>569</v>
      </c>
      <c r="G225" t="s">
        <v>797</v>
      </c>
      <c r="J225" t="s">
        <v>497</v>
      </c>
    </row>
    <row r="226" spans="6:10" x14ac:dyDescent="0.25">
      <c r="G226" t="s">
        <v>573</v>
      </c>
      <c r="J226" t="s">
        <v>499</v>
      </c>
    </row>
    <row r="227" spans="6:10" x14ac:dyDescent="0.25">
      <c r="G227" t="s">
        <v>575</v>
      </c>
      <c r="I227" t="s">
        <v>501</v>
      </c>
      <c r="J227" t="s">
        <v>797</v>
      </c>
    </row>
    <row r="228" spans="6:10" x14ac:dyDescent="0.25">
      <c r="G228" t="s">
        <v>577</v>
      </c>
      <c r="J228" t="s">
        <v>503</v>
      </c>
    </row>
    <row r="229" spans="6:10" x14ac:dyDescent="0.25">
      <c r="G229" t="s">
        <v>579</v>
      </c>
      <c r="J229" t="s">
        <v>505</v>
      </c>
    </row>
    <row r="230" spans="6:10" x14ac:dyDescent="0.25">
      <c r="G230" t="s">
        <v>581</v>
      </c>
      <c r="J230" t="s">
        <v>507</v>
      </c>
    </row>
    <row r="231" spans="6:10" x14ac:dyDescent="0.25">
      <c r="G231" t="s">
        <v>585</v>
      </c>
      <c r="I231" t="s">
        <v>509</v>
      </c>
      <c r="J231" t="s">
        <v>798</v>
      </c>
    </row>
    <row r="232" spans="6:10" x14ac:dyDescent="0.25">
      <c r="G232" t="s">
        <v>587</v>
      </c>
      <c r="I232" t="s">
        <v>512</v>
      </c>
      <c r="J232" t="s">
        <v>798</v>
      </c>
    </row>
    <row r="233" spans="6:10" x14ac:dyDescent="0.25">
      <c r="G233" t="s">
        <v>589</v>
      </c>
      <c r="I233" t="s">
        <v>515</v>
      </c>
      <c r="J233" t="s">
        <v>797</v>
      </c>
    </row>
    <row r="234" spans="6:10" x14ac:dyDescent="0.25">
      <c r="G234" t="s">
        <v>591</v>
      </c>
      <c r="J234" t="s">
        <v>517</v>
      </c>
    </row>
    <row r="235" spans="6:10" x14ac:dyDescent="0.25">
      <c r="F235" t="s">
        <v>594</v>
      </c>
      <c r="G235" t="s">
        <v>797</v>
      </c>
      <c r="J235" t="s">
        <v>519</v>
      </c>
    </row>
    <row r="236" spans="6:10" x14ac:dyDescent="0.25">
      <c r="G236" t="s">
        <v>598</v>
      </c>
      <c r="J236" t="s">
        <v>521</v>
      </c>
    </row>
    <row r="237" spans="6:10" x14ac:dyDescent="0.25">
      <c r="G237" t="s">
        <v>600</v>
      </c>
      <c r="I237" t="s">
        <v>523</v>
      </c>
      <c r="J237" t="s">
        <v>797</v>
      </c>
    </row>
    <row r="238" spans="6:10" x14ac:dyDescent="0.25">
      <c r="G238" t="s">
        <v>602</v>
      </c>
      <c r="J238" t="s">
        <v>525</v>
      </c>
    </row>
    <row r="239" spans="6:10" x14ac:dyDescent="0.25">
      <c r="G239" t="s">
        <v>604</v>
      </c>
      <c r="J239" t="s">
        <v>527</v>
      </c>
    </row>
    <row r="240" spans="6:10" x14ac:dyDescent="0.25">
      <c r="G240" t="s">
        <v>606</v>
      </c>
      <c r="J240" t="s">
        <v>529</v>
      </c>
    </row>
    <row r="241" spans="6:10" x14ac:dyDescent="0.25">
      <c r="G241" t="s">
        <v>608</v>
      </c>
      <c r="I241" t="s">
        <v>531</v>
      </c>
      <c r="J241" t="s">
        <v>798</v>
      </c>
    </row>
    <row r="242" spans="6:10" x14ac:dyDescent="0.25">
      <c r="G242" t="s">
        <v>610</v>
      </c>
      <c r="I242" t="s">
        <v>536</v>
      </c>
      <c r="J242" t="s">
        <v>797</v>
      </c>
    </row>
    <row r="243" spans="6:10" x14ac:dyDescent="0.25">
      <c r="G243" t="s">
        <v>612</v>
      </c>
      <c r="J243" t="s">
        <v>538</v>
      </c>
    </row>
    <row r="244" spans="6:10" x14ac:dyDescent="0.25">
      <c r="G244" t="s">
        <v>614</v>
      </c>
      <c r="J244" t="s">
        <v>540</v>
      </c>
    </row>
    <row r="245" spans="6:10" x14ac:dyDescent="0.25">
      <c r="G245" t="s">
        <v>616</v>
      </c>
      <c r="J245" t="s">
        <v>542</v>
      </c>
    </row>
    <row r="246" spans="6:10" x14ac:dyDescent="0.25">
      <c r="G246" t="s">
        <v>619</v>
      </c>
      <c r="J246" t="s">
        <v>544</v>
      </c>
    </row>
    <row r="247" spans="6:10" x14ac:dyDescent="0.25">
      <c r="F247" t="s">
        <v>622</v>
      </c>
      <c r="G247" t="s">
        <v>797</v>
      </c>
      <c r="J247" t="s">
        <v>546</v>
      </c>
    </row>
    <row r="248" spans="6:10" x14ac:dyDescent="0.25">
      <c r="G248" t="s">
        <v>626</v>
      </c>
      <c r="I248" t="s">
        <v>548</v>
      </c>
      <c r="J248" t="s">
        <v>797</v>
      </c>
    </row>
    <row r="249" spans="6:10" x14ac:dyDescent="0.25">
      <c r="G249" t="s">
        <v>628</v>
      </c>
      <c r="J249" t="s">
        <v>550</v>
      </c>
    </row>
    <row r="250" spans="6:10" x14ac:dyDescent="0.25">
      <c r="G250" t="s">
        <v>630</v>
      </c>
      <c r="J250" t="s">
        <v>552</v>
      </c>
    </row>
    <row r="251" spans="6:10" x14ac:dyDescent="0.25">
      <c r="G251" t="s">
        <v>632</v>
      </c>
      <c r="J251" t="s">
        <v>554</v>
      </c>
    </row>
    <row r="252" spans="6:10" x14ac:dyDescent="0.25">
      <c r="G252" t="s">
        <v>636</v>
      </c>
      <c r="J252" t="s">
        <v>556</v>
      </c>
    </row>
    <row r="253" spans="6:10" x14ac:dyDescent="0.25">
      <c r="G253" t="s">
        <v>638</v>
      </c>
      <c r="I253" t="s">
        <v>558</v>
      </c>
      <c r="J253" t="s">
        <v>797</v>
      </c>
    </row>
    <row r="254" spans="6:10" x14ac:dyDescent="0.25">
      <c r="G254" t="s">
        <v>640</v>
      </c>
      <c r="J254" t="s">
        <v>560</v>
      </c>
    </row>
    <row r="255" spans="6:10" x14ac:dyDescent="0.25">
      <c r="G255" t="s">
        <v>642</v>
      </c>
      <c r="J255" t="s">
        <v>562</v>
      </c>
    </row>
    <row r="256" spans="6:10" x14ac:dyDescent="0.25">
      <c r="F256" t="s">
        <v>645</v>
      </c>
      <c r="G256" t="s">
        <v>797</v>
      </c>
      <c r="J256" t="s">
        <v>564</v>
      </c>
    </row>
    <row r="257" spans="6:10" x14ac:dyDescent="0.25">
      <c r="G257" t="s">
        <v>649</v>
      </c>
      <c r="I257" t="s">
        <v>566</v>
      </c>
      <c r="J257" t="s">
        <v>798</v>
      </c>
    </row>
    <row r="258" spans="6:10" x14ac:dyDescent="0.25">
      <c r="G258" t="s">
        <v>651</v>
      </c>
      <c r="I258" t="s">
        <v>571</v>
      </c>
      <c r="J258" t="s">
        <v>797</v>
      </c>
    </row>
    <row r="259" spans="6:10" x14ac:dyDescent="0.25">
      <c r="G259" t="s">
        <v>653</v>
      </c>
      <c r="J259" t="s">
        <v>573</v>
      </c>
    </row>
    <row r="260" spans="6:10" x14ac:dyDescent="0.25">
      <c r="G260" t="s">
        <v>655</v>
      </c>
      <c r="J260" t="s">
        <v>575</v>
      </c>
    </row>
    <row r="261" spans="6:10" x14ac:dyDescent="0.25">
      <c r="G261" t="s">
        <v>657</v>
      </c>
      <c r="J261" t="s">
        <v>577</v>
      </c>
    </row>
    <row r="262" spans="6:10" x14ac:dyDescent="0.25">
      <c r="G262" t="s">
        <v>659</v>
      </c>
      <c r="J262" t="s">
        <v>579</v>
      </c>
    </row>
    <row r="263" spans="6:10" x14ac:dyDescent="0.25">
      <c r="G263" t="s">
        <v>661</v>
      </c>
      <c r="J263" t="s">
        <v>581</v>
      </c>
    </row>
    <row r="264" spans="6:10" x14ac:dyDescent="0.25">
      <c r="G264" t="s">
        <v>666</v>
      </c>
      <c r="I264" t="s">
        <v>583</v>
      </c>
      <c r="J264" t="s">
        <v>797</v>
      </c>
    </row>
    <row r="265" spans="6:10" x14ac:dyDescent="0.25">
      <c r="G265" t="s">
        <v>668</v>
      </c>
      <c r="J265" t="s">
        <v>585</v>
      </c>
    </row>
    <row r="266" spans="6:10" x14ac:dyDescent="0.25">
      <c r="G266" t="s">
        <v>670</v>
      </c>
      <c r="J266" t="s">
        <v>587</v>
      </c>
    </row>
    <row r="267" spans="6:10" x14ac:dyDescent="0.25">
      <c r="G267" t="s">
        <v>672</v>
      </c>
      <c r="J267" t="s">
        <v>589</v>
      </c>
    </row>
    <row r="268" spans="6:10" x14ac:dyDescent="0.25">
      <c r="F268" t="s">
        <v>675</v>
      </c>
      <c r="G268" t="s">
        <v>797</v>
      </c>
      <c r="I268" t="s">
        <v>591</v>
      </c>
      <c r="J268" t="s">
        <v>798</v>
      </c>
    </row>
    <row r="269" spans="6:10" x14ac:dyDescent="0.25">
      <c r="G269" t="s">
        <v>679</v>
      </c>
      <c r="I269" t="s">
        <v>596</v>
      </c>
      <c r="J269" t="s">
        <v>797</v>
      </c>
    </row>
    <row r="270" spans="6:10" x14ac:dyDescent="0.25">
      <c r="G270" t="s">
        <v>681</v>
      </c>
      <c r="J270" t="s">
        <v>598</v>
      </c>
    </row>
    <row r="271" spans="6:10" x14ac:dyDescent="0.25">
      <c r="G271" t="s">
        <v>683</v>
      </c>
      <c r="J271" t="s">
        <v>600</v>
      </c>
    </row>
    <row r="272" spans="6:10" x14ac:dyDescent="0.25">
      <c r="G272" t="s">
        <v>685</v>
      </c>
      <c r="J272" t="s">
        <v>602</v>
      </c>
    </row>
    <row r="273" spans="6:10" x14ac:dyDescent="0.25">
      <c r="G273" t="s">
        <v>690</v>
      </c>
      <c r="J273" t="s">
        <v>604</v>
      </c>
    </row>
    <row r="274" spans="6:10" x14ac:dyDescent="0.25">
      <c r="G274" t="s">
        <v>688</v>
      </c>
      <c r="J274" t="s">
        <v>606</v>
      </c>
    </row>
    <row r="275" spans="6:10" x14ac:dyDescent="0.25">
      <c r="G275" t="s">
        <v>693</v>
      </c>
      <c r="J275" t="s">
        <v>608</v>
      </c>
    </row>
    <row r="276" spans="6:10" x14ac:dyDescent="0.25">
      <c r="G276" t="s">
        <v>695</v>
      </c>
      <c r="J276" t="s">
        <v>610</v>
      </c>
    </row>
    <row r="277" spans="6:10" x14ac:dyDescent="0.25">
      <c r="F277" t="s">
        <v>698</v>
      </c>
      <c r="G277" t="s">
        <v>797</v>
      </c>
      <c r="J277" t="s">
        <v>612</v>
      </c>
    </row>
    <row r="278" spans="6:10" x14ac:dyDescent="0.25">
      <c r="G278" t="s">
        <v>700</v>
      </c>
      <c r="J278" t="s">
        <v>614</v>
      </c>
    </row>
    <row r="279" spans="6:10" x14ac:dyDescent="0.25">
      <c r="G279" t="s">
        <v>705</v>
      </c>
      <c r="I279" t="s">
        <v>616</v>
      </c>
      <c r="J279" t="s">
        <v>798</v>
      </c>
    </row>
    <row r="280" spans="6:10" x14ac:dyDescent="0.25">
      <c r="G280" t="s">
        <v>707</v>
      </c>
      <c r="I280" t="s">
        <v>619</v>
      </c>
      <c r="J280" t="s">
        <v>798</v>
      </c>
    </row>
    <row r="281" spans="6:10" x14ac:dyDescent="0.25">
      <c r="G281" t="s">
        <v>709</v>
      </c>
      <c r="I281" t="s">
        <v>624</v>
      </c>
      <c r="J281" t="s">
        <v>797</v>
      </c>
    </row>
    <row r="282" spans="6:10" x14ac:dyDescent="0.25">
      <c r="G282" t="s">
        <v>711</v>
      </c>
      <c r="J282" t="s">
        <v>626</v>
      </c>
    </row>
    <row r="283" spans="6:10" x14ac:dyDescent="0.25">
      <c r="G283" t="s">
        <v>713</v>
      </c>
      <c r="J283" t="s">
        <v>628</v>
      </c>
    </row>
    <row r="284" spans="6:10" x14ac:dyDescent="0.25">
      <c r="G284" t="s">
        <v>715</v>
      </c>
      <c r="J284" t="s">
        <v>630</v>
      </c>
    </row>
    <row r="285" spans="6:10" x14ac:dyDescent="0.25">
      <c r="G285" t="s">
        <v>720</v>
      </c>
      <c r="J285" t="s">
        <v>632</v>
      </c>
    </row>
    <row r="286" spans="6:10" x14ac:dyDescent="0.25">
      <c r="G286" t="s">
        <v>722</v>
      </c>
      <c r="I286" t="s">
        <v>634</v>
      </c>
      <c r="J286" t="s">
        <v>797</v>
      </c>
    </row>
    <row r="287" spans="6:10" x14ac:dyDescent="0.25">
      <c r="G287" t="s">
        <v>724</v>
      </c>
      <c r="J287" t="s">
        <v>636</v>
      </c>
    </row>
    <row r="288" spans="6:10" x14ac:dyDescent="0.25">
      <c r="G288" t="s">
        <v>726</v>
      </c>
      <c r="J288" t="s">
        <v>638</v>
      </c>
    </row>
    <row r="289" spans="6:10" x14ac:dyDescent="0.25">
      <c r="F289" t="s">
        <v>729</v>
      </c>
      <c r="G289" t="s">
        <v>797</v>
      </c>
      <c r="J289" t="s">
        <v>640</v>
      </c>
    </row>
    <row r="290" spans="6:10" x14ac:dyDescent="0.25">
      <c r="G290" t="s">
        <v>733</v>
      </c>
      <c r="I290" t="s">
        <v>642</v>
      </c>
      <c r="J290" t="s">
        <v>798</v>
      </c>
    </row>
    <row r="291" spans="6:10" x14ac:dyDescent="0.25">
      <c r="G291" t="s">
        <v>735</v>
      </c>
      <c r="I291" t="s">
        <v>647</v>
      </c>
      <c r="J291" t="s">
        <v>797</v>
      </c>
    </row>
    <row r="292" spans="6:10" x14ac:dyDescent="0.25">
      <c r="G292" t="s">
        <v>737</v>
      </c>
      <c r="J292" t="s">
        <v>649</v>
      </c>
    </row>
    <row r="293" spans="6:10" x14ac:dyDescent="0.25">
      <c r="G293" t="s">
        <v>739</v>
      </c>
      <c r="J293" t="s">
        <v>651</v>
      </c>
    </row>
    <row r="294" spans="6:10" x14ac:dyDescent="0.25">
      <c r="G294" t="s">
        <v>744</v>
      </c>
      <c r="J294" t="s">
        <v>653</v>
      </c>
    </row>
    <row r="295" spans="6:10" x14ac:dyDescent="0.25">
      <c r="G295" t="s">
        <v>746</v>
      </c>
      <c r="J295" t="s">
        <v>655</v>
      </c>
    </row>
    <row r="296" spans="6:10" x14ac:dyDescent="0.25">
      <c r="G296" t="s">
        <v>748</v>
      </c>
      <c r="J296" t="s">
        <v>657</v>
      </c>
    </row>
    <row r="297" spans="6:10" x14ac:dyDescent="0.25">
      <c r="G297" t="s">
        <v>750</v>
      </c>
      <c r="J297" t="s">
        <v>659</v>
      </c>
    </row>
    <row r="298" spans="6:10" x14ac:dyDescent="0.25">
      <c r="G298" t="s">
        <v>752</v>
      </c>
      <c r="I298" t="s">
        <v>661</v>
      </c>
      <c r="J298" t="s">
        <v>798</v>
      </c>
    </row>
    <row r="299" spans="6:10" x14ac:dyDescent="0.25">
      <c r="G299" t="s">
        <v>755</v>
      </c>
      <c r="I299" t="s">
        <v>664</v>
      </c>
      <c r="J299" t="s">
        <v>797</v>
      </c>
    </row>
    <row r="300" spans="6:10" x14ac:dyDescent="0.25">
      <c r="F300" t="s">
        <v>758</v>
      </c>
      <c r="G300" t="s">
        <v>797</v>
      </c>
      <c r="J300" t="s">
        <v>666</v>
      </c>
    </row>
    <row r="301" spans="6:10" x14ac:dyDescent="0.25">
      <c r="G301" t="s">
        <v>762</v>
      </c>
      <c r="J301" t="s">
        <v>668</v>
      </c>
    </row>
    <row r="302" spans="6:10" x14ac:dyDescent="0.25">
      <c r="G302" t="s">
        <v>764</v>
      </c>
      <c r="J302" t="s">
        <v>670</v>
      </c>
    </row>
    <row r="303" spans="6:10" x14ac:dyDescent="0.25">
      <c r="G303" t="s">
        <v>766</v>
      </c>
      <c r="I303" t="s">
        <v>672</v>
      </c>
      <c r="J303" t="s">
        <v>798</v>
      </c>
    </row>
    <row r="304" spans="6:10" x14ac:dyDescent="0.25">
      <c r="G304" t="s">
        <v>768</v>
      </c>
      <c r="I304" t="s">
        <v>677</v>
      </c>
      <c r="J304" t="s">
        <v>797</v>
      </c>
    </row>
    <row r="305" spans="6:10" x14ac:dyDescent="0.25">
      <c r="G305" t="s">
        <v>772</v>
      </c>
      <c r="J305" t="s">
        <v>679</v>
      </c>
    </row>
    <row r="306" spans="6:10" x14ac:dyDescent="0.25">
      <c r="G306" t="s">
        <v>774</v>
      </c>
      <c r="J306" t="s">
        <v>681</v>
      </c>
    </row>
    <row r="307" spans="6:10" x14ac:dyDescent="0.25">
      <c r="G307" t="s">
        <v>776</v>
      </c>
      <c r="J307" t="s">
        <v>683</v>
      </c>
    </row>
    <row r="308" spans="6:10" x14ac:dyDescent="0.25">
      <c r="G308" t="s">
        <v>778</v>
      </c>
      <c r="I308" t="s">
        <v>685</v>
      </c>
      <c r="J308" t="s">
        <v>798</v>
      </c>
    </row>
    <row r="309" spans="6:10" x14ac:dyDescent="0.25">
      <c r="G309" t="s">
        <v>780</v>
      </c>
      <c r="I309" t="s">
        <v>688</v>
      </c>
      <c r="J309" t="s">
        <v>797</v>
      </c>
    </row>
    <row r="310" spans="6:10" x14ac:dyDescent="0.25">
      <c r="G310" t="s">
        <v>782</v>
      </c>
      <c r="J310" t="s">
        <v>690</v>
      </c>
    </row>
    <row r="311" spans="6:10" x14ac:dyDescent="0.25">
      <c r="G311" t="s">
        <v>784</v>
      </c>
      <c r="J311" t="s">
        <v>688</v>
      </c>
    </row>
    <row r="312" spans="6:10" x14ac:dyDescent="0.25">
      <c r="G312" t="s">
        <v>787</v>
      </c>
      <c r="J312" t="s">
        <v>693</v>
      </c>
    </row>
    <row r="313" spans="6:10" x14ac:dyDescent="0.25">
      <c r="F313" t="s">
        <v>800</v>
      </c>
      <c r="I313" t="s">
        <v>695</v>
      </c>
      <c r="J313" t="s">
        <v>798</v>
      </c>
    </row>
    <row r="314" spans="6:10" x14ac:dyDescent="0.25">
      <c r="I314" t="s">
        <v>700</v>
      </c>
      <c r="J314" t="s">
        <v>798</v>
      </c>
    </row>
    <row r="315" spans="6:10" x14ac:dyDescent="0.25">
      <c r="I315" t="s">
        <v>703</v>
      </c>
      <c r="J315" t="s">
        <v>797</v>
      </c>
    </row>
    <row r="316" spans="6:10" x14ac:dyDescent="0.25">
      <c r="J316" t="s">
        <v>705</v>
      </c>
    </row>
    <row r="317" spans="6:10" x14ac:dyDescent="0.25">
      <c r="J317" t="s">
        <v>707</v>
      </c>
    </row>
    <row r="318" spans="6:10" x14ac:dyDescent="0.25">
      <c r="J318" t="s">
        <v>709</v>
      </c>
    </row>
    <row r="319" spans="6:10" x14ac:dyDescent="0.25">
      <c r="J319" t="s">
        <v>711</v>
      </c>
    </row>
    <row r="320" spans="6:10" x14ac:dyDescent="0.25">
      <c r="J320" t="s">
        <v>713</v>
      </c>
    </row>
    <row r="321" spans="9:10" x14ac:dyDescent="0.25">
      <c r="I321" t="s">
        <v>715</v>
      </c>
      <c r="J321" t="s">
        <v>798</v>
      </c>
    </row>
    <row r="322" spans="9:10" x14ac:dyDescent="0.25">
      <c r="I322" t="s">
        <v>718</v>
      </c>
      <c r="J322" t="s">
        <v>797</v>
      </c>
    </row>
    <row r="323" spans="9:10" x14ac:dyDescent="0.25">
      <c r="J323" t="s">
        <v>720</v>
      </c>
    </row>
    <row r="324" spans="9:10" x14ac:dyDescent="0.25">
      <c r="J324" t="s">
        <v>722</v>
      </c>
    </row>
    <row r="325" spans="9:10" x14ac:dyDescent="0.25">
      <c r="J325" t="s">
        <v>724</v>
      </c>
    </row>
    <row r="326" spans="9:10" x14ac:dyDescent="0.25">
      <c r="I326" t="s">
        <v>726</v>
      </c>
      <c r="J326" t="s">
        <v>798</v>
      </c>
    </row>
    <row r="327" spans="9:10" x14ac:dyDescent="0.25">
      <c r="I327" t="s">
        <v>731</v>
      </c>
      <c r="J327" t="s">
        <v>797</v>
      </c>
    </row>
    <row r="328" spans="9:10" x14ac:dyDescent="0.25">
      <c r="J328" t="s">
        <v>733</v>
      </c>
    </row>
    <row r="329" spans="9:10" x14ac:dyDescent="0.25">
      <c r="J329" t="s">
        <v>735</v>
      </c>
    </row>
    <row r="330" spans="9:10" x14ac:dyDescent="0.25">
      <c r="J330" t="s">
        <v>737</v>
      </c>
    </row>
    <row r="331" spans="9:10" x14ac:dyDescent="0.25">
      <c r="I331" t="s">
        <v>739</v>
      </c>
      <c r="J331" t="s">
        <v>798</v>
      </c>
    </row>
    <row r="332" spans="9:10" x14ac:dyDescent="0.25">
      <c r="I332" t="s">
        <v>742</v>
      </c>
      <c r="J332" t="s">
        <v>797</v>
      </c>
    </row>
    <row r="333" spans="9:10" x14ac:dyDescent="0.25">
      <c r="J333" t="s">
        <v>744</v>
      </c>
    </row>
    <row r="334" spans="9:10" x14ac:dyDescent="0.25">
      <c r="J334" t="s">
        <v>746</v>
      </c>
    </row>
    <row r="335" spans="9:10" x14ac:dyDescent="0.25">
      <c r="J335" t="s">
        <v>748</v>
      </c>
    </row>
    <row r="336" spans="9:10" x14ac:dyDescent="0.25">
      <c r="J336" t="s">
        <v>750</v>
      </c>
    </row>
    <row r="337" spans="9:10" x14ac:dyDescent="0.25">
      <c r="I337" t="s">
        <v>752</v>
      </c>
      <c r="J337" t="s">
        <v>798</v>
      </c>
    </row>
    <row r="338" spans="9:10" x14ac:dyDescent="0.25">
      <c r="I338" t="s">
        <v>755</v>
      </c>
      <c r="J338" t="s">
        <v>798</v>
      </c>
    </row>
    <row r="339" spans="9:10" x14ac:dyDescent="0.25">
      <c r="I339" t="s">
        <v>760</v>
      </c>
      <c r="J339" t="s">
        <v>797</v>
      </c>
    </row>
    <row r="340" spans="9:10" x14ac:dyDescent="0.25">
      <c r="J340" t="s">
        <v>762</v>
      </c>
    </row>
    <row r="341" spans="9:10" x14ac:dyDescent="0.25">
      <c r="J341" t="s">
        <v>764</v>
      </c>
    </row>
    <row r="342" spans="9:10" x14ac:dyDescent="0.25">
      <c r="J342" t="s">
        <v>766</v>
      </c>
    </row>
    <row r="343" spans="9:10" x14ac:dyDescent="0.25">
      <c r="J343" t="s">
        <v>768</v>
      </c>
    </row>
    <row r="344" spans="9:10" x14ac:dyDescent="0.25">
      <c r="I344" t="s">
        <v>770</v>
      </c>
      <c r="J344" t="s">
        <v>797</v>
      </c>
    </row>
    <row r="345" spans="9:10" x14ac:dyDescent="0.25">
      <c r="J345" t="s">
        <v>772</v>
      </c>
    </row>
    <row r="346" spans="9:10" x14ac:dyDescent="0.25">
      <c r="J346" t="s">
        <v>774</v>
      </c>
    </row>
    <row r="347" spans="9:10" x14ac:dyDescent="0.25">
      <c r="J347" t="s">
        <v>776</v>
      </c>
    </row>
    <row r="348" spans="9:10" x14ac:dyDescent="0.25">
      <c r="J348" t="s">
        <v>778</v>
      </c>
    </row>
    <row r="349" spans="9:10" x14ac:dyDescent="0.25">
      <c r="J349" t="s">
        <v>780</v>
      </c>
    </row>
    <row r="350" spans="9:10" x14ac:dyDescent="0.25">
      <c r="J350" t="s">
        <v>782</v>
      </c>
    </row>
    <row r="351" spans="9:10" x14ac:dyDescent="0.25">
      <c r="I351" t="s">
        <v>784</v>
      </c>
      <c r="J351" t="s">
        <v>798</v>
      </c>
    </row>
    <row r="352" spans="9:10" x14ac:dyDescent="0.25">
      <c r="I352" t="s">
        <v>787</v>
      </c>
      <c r="J352" t="s">
        <v>798</v>
      </c>
    </row>
    <row r="353" spans="1:17" x14ac:dyDescent="0.25">
      <c r="I353" t="s">
        <v>800</v>
      </c>
    </row>
    <row r="356" spans="1:17" x14ac:dyDescent="0.25">
      <c r="A356" s="59" t="s">
        <v>801</v>
      </c>
    </row>
    <row r="357" spans="1:17" x14ac:dyDescent="0.25">
      <c r="A357">
        <v>2</v>
      </c>
      <c r="B357">
        <v>3</v>
      </c>
      <c r="C357">
        <v>4</v>
      </c>
      <c r="D357">
        <v>5</v>
      </c>
      <c r="E357">
        <v>6</v>
      </c>
      <c r="F357">
        <v>7</v>
      </c>
      <c r="G357">
        <v>8</v>
      </c>
      <c r="H357">
        <v>9</v>
      </c>
      <c r="I357">
        <v>10</v>
      </c>
      <c r="J357">
        <v>11</v>
      </c>
      <c r="K357">
        <v>12</v>
      </c>
      <c r="L357">
        <v>13</v>
      </c>
      <c r="M357">
        <v>14</v>
      </c>
      <c r="N357">
        <v>15</v>
      </c>
      <c r="O357">
        <v>16</v>
      </c>
      <c r="P357">
        <v>17</v>
      </c>
    </row>
    <row r="358" spans="1:17" x14ac:dyDescent="0.25">
      <c r="A358" s="63">
        <f>'Trend Data IN'!E1</f>
        <v>38473</v>
      </c>
      <c r="B358" s="63">
        <f>'Trend Data IN'!F1</f>
        <v>38838</v>
      </c>
      <c r="C358" s="63">
        <f>'Trend Data IN'!G1</f>
        <v>39203</v>
      </c>
      <c r="D358" s="63">
        <f>'Trend Data IN'!H1</f>
        <v>39569</v>
      </c>
      <c r="E358" s="63">
        <f>'Trend Data IN'!I1</f>
        <v>39934</v>
      </c>
      <c r="F358" s="63">
        <f>'Trend Data IN'!J1</f>
        <v>40299</v>
      </c>
      <c r="G358" s="63">
        <f>'Trend Data IN'!K1</f>
        <v>40664</v>
      </c>
      <c r="H358" s="63">
        <f>'Trend Data IN'!L1</f>
        <v>41030</v>
      </c>
      <c r="I358" s="63">
        <f>'Trend Data IN'!M1</f>
        <v>41395</v>
      </c>
      <c r="J358" s="63">
        <f>'Trend Data IN'!N1</f>
        <v>41760</v>
      </c>
      <c r="K358" s="63">
        <f>'Trend Data IN'!O1</f>
        <v>42125</v>
      </c>
      <c r="L358" s="63">
        <f>'Trend Data IN'!P1</f>
        <v>42491</v>
      </c>
      <c r="M358" s="63">
        <f>'Trend Data IN'!Q1</f>
        <v>42856</v>
      </c>
      <c r="N358" s="63">
        <f>'Trend Data IN'!R1</f>
        <v>43221</v>
      </c>
      <c r="O358" s="63">
        <f>'Trend Data IN'!S1</f>
        <v>43586</v>
      </c>
      <c r="P358" s="63">
        <f>'Trend Data IN'!T1</f>
        <v>43952</v>
      </c>
      <c r="Q358" s="64" t="str">
        <f>"Proj "&amp;TEXT(A30,"mmm yyyy")</f>
        <v>Proj May 2024</v>
      </c>
    </row>
    <row r="359" spans="1:17" x14ac:dyDescent="0.25">
      <c r="A359" s="65">
        <f>VLOOKUP(Selected_Industry,'Trend Data IN'!$D$2:$T$418,A$357,FALSE)</f>
        <v>9834.0712812000002</v>
      </c>
      <c r="B359" s="65">
        <f>VLOOKUP(Selected_Industry,'Trend Data IN'!$D$2:$T$418,B$357,FALSE)</f>
        <v>10061.3775597</v>
      </c>
      <c r="C359" s="65">
        <f>VLOOKUP(Selected_Industry,'Trend Data IN'!$D$2:$T$418,C$357,FALSE)</f>
        <v>10390.563485999999</v>
      </c>
      <c r="D359" s="65">
        <f>VLOOKUP(Selected_Industry,'Trend Data IN'!$D$2:$T$418,D$357,FALSE)</f>
        <v>10663.838618399999</v>
      </c>
      <c r="E359" s="65">
        <f>VLOOKUP(Selected_Industry,'Trend Data IN'!$D$2:$T$418,E$357,FALSE)</f>
        <v>10760.102002199999</v>
      </c>
      <c r="F359" s="65">
        <f>VLOOKUP(Selected_Industry,'Trend Data IN'!$D$2:$T$418,F$357,FALSE)</f>
        <v>10926.1306804</v>
      </c>
      <c r="G359" s="65">
        <f>VLOOKUP(Selected_Industry,'Trend Data IN'!$D$2:$T$418,G$357,FALSE)</f>
        <v>11160.725986900001</v>
      </c>
      <c r="H359" s="65">
        <f>VLOOKUP(Selected_Industry,'Trend Data IN'!$D$2:$T$418,H$357,FALSE)</f>
        <v>11355.611943</v>
      </c>
      <c r="I359" s="65">
        <f>VLOOKUP(Selected_Industry,'Trend Data IN'!$D$2:$T$418,I$357,FALSE)</f>
        <v>11451.2633102</v>
      </c>
      <c r="J359" s="65">
        <f>VLOOKUP(Selected_Industry,'Trend Data IN'!$D$2:$T$418,J$357,FALSE)</f>
        <v>11509.0390702</v>
      </c>
      <c r="K359" s="65">
        <f>VLOOKUP(Selected_Industry,'Trend Data IN'!$D$2:$T$418,K$357,FALSE)</f>
        <v>11736.5519539</v>
      </c>
      <c r="L359" s="65">
        <f>VLOOKUP(Selected_Industry,'Trend Data IN'!$D$2:$T$418,L$357,FALSE)</f>
        <v>11952.737236000001</v>
      </c>
      <c r="M359" s="65">
        <f>VLOOKUP(Selected_Industry,'Trend Data IN'!$D$2:$T$418,M$357,FALSE)</f>
        <v>12212.8524765</v>
      </c>
      <c r="N359" s="65">
        <f>VLOOKUP(Selected_Industry,'Trend Data IN'!$D$2:$T$418,N$357,FALSE)</f>
        <v>12528.7398292</v>
      </c>
      <c r="O359" s="65">
        <f>VLOOKUP(Selected_Industry,'Trend Data IN'!$D$2:$T$418,O$357,FALSE)</f>
        <v>12874.5597432</v>
      </c>
      <c r="P359" s="65">
        <f>VLOOKUP(Selected_Industry,'Trend Data IN'!$D$2:$T$418,P$357,FALSE)</f>
        <v>12184.128501699999</v>
      </c>
      <c r="Q359" s="65">
        <f>VLOOKUP(Selected_Industry,'Projections IN'!C4:G420,5,FALSE)</f>
        <v>13954.6754106565</v>
      </c>
    </row>
    <row r="362" spans="1:17" x14ac:dyDescent="0.25">
      <c r="A362" s="59" t="s">
        <v>803</v>
      </c>
      <c r="B362" s="61" t="s">
        <v>804</v>
      </c>
      <c r="C362" s="66" t="s">
        <v>810</v>
      </c>
      <c r="D362" s="61" t="s">
        <v>805</v>
      </c>
      <c r="E362" s="61" t="s">
        <v>806</v>
      </c>
      <c r="F362" s="62" t="s">
        <v>807</v>
      </c>
      <c r="G362" s="61" t="s">
        <v>808</v>
      </c>
      <c r="I362" s="59" t="s">
        <v>809</v>
      </c>
    </row>
    <row r="363" spans="1:17" x14ac:dyDescent="0.25">
      <c r="A363" s="67" t="s">
        <v>790</v>
      </c>
      <c r="B363" s="68">
        <f>VLOOKUP($A363,'Trend Data IN'!$D$2:$T$418,17,FALSE)</f>
        <v>12184.128501699999</v>
      </c>
      <c r="C363" s="68">
        <f>VLOOKUP($A363,'Trend Data IN'!$D$2:$T$418,12,FALSE)</f>
        <v>11736.5519539</v>
      </c>
      <c r="D363" s="68">
        <f>B363-C363</f>
        <v>447.57654779999939</v>
      </c>
      <c r="E363" s="68">
        <f>IF(C363=0,"-",D363/C363*100)</f>
        <v>3.8135267458282058</v>
      </c>
      <c r="F363" s="68">
        <f>VLOOKUP($A363,'Projections IN'!$C$4:$G$420,3,FALSE)</f>
        <v>1075.0446322565003</v>
      </c>
      <c r="G363" s="68">
        <f>VLOOKUP($A363,'Projections IN'!$C$4:$G$420,4,FALSE)</f>
        <v>8.3468590889998353</v>
      </c>
      <c r="I363" s="64" t="s">
        <v>5</v>
      </c>
      <c r="J363" s="65">
        <v>-3.8307666625032084</v>
      </c>
    </row>
    <row r="364" spans="1:17" x14ac:dyDescent="0.25">
      <c r="A364" s="67" t="s">
        <v>5</v>
      </c>
      <c r="B364" s="68">
        <f>VLOOKUP($A364,'Trend Data IN'!$D$2:$T$418,17,FALSE)</f>
        <v>354.54461450000002</v>
      </c>
      <c r="C364" s="68">
        <f>VLOOKUP($A364,'Trend Data IN'!$D$2:$T$418,12,FALSE)</f>
        <v>292.38853810000001</v>
      </c>
      <c r="D364" s="68">
        <f t="shared" ref="D364:D382" si="0">B364-C364</f>
        <v>62.156076400000018</v>
      </c>
      <c r="E364" s="68">
        <f t="shared" ref="E364:E382" si="1">IF(C364=0,"-",D364/C364*100)</f>
        <v>21.258041373270924</v>
      </c>
      <c r="F364" s="68">
        <f>VLOOKUP($A364,'Projections IN'!$C$4:$G$420,3,FALSE)</f>
        <v>-3.8307666625032084</v>
      </c>
      <c r="G364" s="68">
        <f>VLOOKUP($A364,'Projections IN'!$C$4:$G$420,4,FALSE)</f>
        <v>-1.1505563655367683</v>
      </c>
      <c r="I364" s="64" t="s">
        <v>84</v>
      </c>
      <c r="J364" s="65">
        <v>-3.4079496903302697</v>
      </c>
    </row>
    <row r="365" spans="1:17" x14ac:dyDescent="0.25">
      <c r="A365" s="67" t="s">
        <v>54</v>
      </c>
      <c r="B365" s="68">
        <f>VLOOKUP($A365,'Trend Data IN'!$D$2:$T$418,17,FALSE)</f>
        <v>233.31110820000001</v>
      </c>
      <c r="C365" s="68">
        <f>VLOOKUP($A365,'Trend Data IN'!$D$2:$T$418,12,FALSE)</f>
        <v>223.12578450000001</v>
      </c>
      <c r="D365" s="68">
        <f t="shared" si="0"/>
        <v>10.185323699999998</v>
      </c>
      <c r="E365" s="68">
        <f t="shared" si="1"/>
        <v>4.5648349081770947</v>
      </c>
      <c r="F365" s="68">
        <f>VLOOKUP($A365,'Projections IN'!$C$4:$G$420,3,FALSE)</f>
        <v>15.413032355088887</v>
      </c>
      <c r="G365" s="68">
        <f>VLOOKUP($A365,'Projections IN'!$C$4:$G$420,4,FALSE)</f>
        <v>6.230283974202842</v>
      </c>
      <c r="I365" s="64" t="s">
        <v>483</v>
      </c>
      <c r="J365" s="65">
        <v>-0.5815997302208018</v>
      </c>
    </row>
    <row r="366" spans="1:17" x14ac:dyDescent="0.25">
      <c r="A366" s="67" t="s">
        <v>84</v>
      </c>
      <c r="B366" s="68">
        <f>VLOOKUP($A366,'Trend Data IN'!$D$2:$T$418,17,FALSE)</f>
        <v>852.76005250000003</v>
      </c>
      <c r="C366" s="68">
        <f>VLOOKUP($A366,'Trend Data IN'!$D$2:$T$418,12,FALSE)</f>
        <v>914.10293249999995</v>
      </c>
      <c r="D366" s="68">
        <f t="shared" si="0"/>
        <v>-61.342879999999923</v>
      </c>
      <c r="E366" s="68">
        <f t="shared" si="1"/>
        <v>-6.7107190907080838</v>
      </c>
      <c r="F366" s="68">
        <f>VLOOKUP($A366,'Projections IN'!$C$4:$G$420,3,FALSE)</f>
        <v>-3.4079496903302697</v>
      </c>
      <c r="G366" s="68">
        <f>VLOOKUP($A366,'Projections IN'!$C$4:$G$420,4,FALSE)</f>
        <v>-0.40155144475547316</v>
      </c>
      <c r="I366" s="64" t="s">
        <v>256</v>
      </c>
      <c r="J366" s="65">
        <v>6.8042005979082489</v>
      </c>
    </row>
    <row r="367" spans="1:17" x14ac:dyDescent="0.25">
      <c r="A367" s="67" t="s">
        <v>256</v>
      </c>
      <c r="B367" s="68">
        <f>VLOOKUP($A367,'Trend Data IN'!$D$2:$T$418,17,FALSE)</f>
        <v>164.60601449999999</v>
      </c>
      <c r="C367" s="68">
        <f>VLOOKUP($A367,'Trend Data IN'!$D$2:$T$418,12,FALSE)</f>
        <v>139.0903394</v>
      </c>
      <c r="D367" s="68">
        <f t="shared" si="0"/>
        <v>25.515675099999982</v>
      </c>
      <c r="E367" s="68">
        <f t="shared" si="1"/>
        <v>18.344678149516387</v>
      </c>
      <c r="F367" s="68">
        <f>VLOOKUP($A367,'Projections IN'!$C$4:$G$420,3,FALSE)</f>
        <v>6.8042005979082489</v>
      </c>
      <c r="G367" s="68">
        <f>VLOOKUP($A367,'Projections IN'!$C$4:$G$420,4,FALSE)</f>
        <v>4.4028655747430179</v>
      </c>
      <c r="I367" s="64" t="s">
        <v>317</v>
      </c>
      <c r="J367" s="65">
        <v>10.428092777178563</v>
      </c>
    </row>
    <row r="368" spans="1:17" x14ac:dyDescent="0.25">
      <c r="A368" s="67" t="s">
        <v>287</v>
      </c>
      <c r="B368" s="68">
        <f>VLOOKUP($A368,'Trend Data IN'!$D$2:$T$418,17,FALSE)</f>
        <v>1174.0601678</v>
      </c>
      <c r="C368" s="68">
        <f>VLOOKUP($A368,'Trend Data IN'!$D$2:$T$418,12,FALSE)</f>
        <v>1030.3417526000001</v>
      </c>
      <c r="D368" s="68">
        <f t="shared" si="0"/>
        <v>143.71841519999998</v>
      </c>
      <c r="E368" s="68">
        <f t="shared" si="1"/>
        <v>13.948616062324559</v>
      </c>
      <c r="F368" s="68">
        <f>VLOOKUP($A368,'Projections IN'!$C$4:$G$420,3,FALSE)</f>
        <v>113.66207577979935</v>
      </c>
      <c r="G368" s="68">
        <f>VLOOKUP($A368,'Projections IN'!$C$4:$G$420,4,FALSE)</f>
        <v>9.7214585106401721</v>
      </c>
      <c r="I368" s="64" t="s">
        <v>569</v>
      </c>
      <c r="J368" s="65">
        <v>12.313080475342929</v>
      </c>
    </row>
    <row r="369" spans="1:10" x14ac:dyDescent="0.25">
      <c r="A369" s="67" t="s">
        <v>317</v>
      </c>
      <c r="B369" s="68">
        <f>VLOOKUP($A369,'Trend Data IN'!$D$2:$T$418,17,FALSE)</f>
        <v>390.35758279999999</v>
      </c>
      <c r="C369" s="68">
        <f>VLOOKUP($A369,'Trend Data IN'!$D$2:$T$418,12,FALSE)</f>
        <v>396.73724249999998</v>
      </c>
      <c r="D369" s="68">
        <f t="shared" si="0"/>
        <v>-6.3796596999999906</v>
      </c>
      <c r="E369" s="68">
        <f t="shared" si="1"/>
        <v>-1.6080314668215177</v>
      </c>
      <c r="F369" s="68">
        <f>VLOOKUP($A369,'Projections IN'!$C$4:$G$420,3,FALSE)</f>
        <v>10.428092777178563</v>
      </c>
      <c r="G369" s="68">
        <f>VLOOKUP($A369,'Projections IN'!$C$4:$G$420,4,FALSE)</f>
        <v>2.5958242904387419</v>
      </c>
      <c r="I369" s="64" t="s">
        <v>54</v>
      </c>
      <c r="J369" s="65">
        <v>15.413032355088887</v>
      </c>
    </row>
    <row r="370" spans="1:10" x14ac:dyDescent="0.25">
      <c r="A370" s="67" t="s">
        <v>359</v>
      </c>
      <c r="B370" s="68">
        <f>VLOOKUP($A370,'Trend Data IN'!$D$2:$T$418,17,FALSE)</f>
        <v>1189.0949873</v>
      </c>
      <c r="C370" s="68">
        <f>VLOOKUP($A370,'Trend Data IN'!$D$2:$T$418,12,FALSE)</f>
        <v>1222.9368406999999</v>
      </c>
      <c r="D370" s="68">
        <f t="shared" si="0"/>
        <v>-33.841853399999991</v>
      </c>
      <c r="E370" s="68">
        <f t="shared" si="1"/>
        <v>-2.7672609307140639</v>
      </c>
      <c r="F370" s="68">
        <f>VLOOKUP($A370,'Projections IN'!$C$4:$G$420,3,FALSE)</f>
        <v>62.32961557705903</v>
      </c>
      <c r="G370" s="68">
        <f>VLOOKUP($A370,'Projections IN'!$C$4:$G$420,4,FALSE)</f>
        <v>4.8024557189762636</v>
      </c>
      <c r="I370" s="64" t="s">
        <v>534</v>
      </c>
      <c r="J370" s="65">
        <v>20.39697798346009</v>
      </c>
    </row>
    <row r="371" spans="1:10" x14ac:dyDescent="0.25">
      <c r="A371" s="67" t="s">
        <v>409</v>
      </c>
      <c r="B371" s="68">
        <f>VLOOKUP($A371,'Trend Data IN'!$D$2:$T$418,17,FALSE)</f>
        <v>645.85916780000002</v>
      </c>
      <c r="C371" s="68">
        <f>VLOOKUP($A371,'Trend Data IN'!$D$2:$T$418,12,FALSE)</f>
        <v>827.98975419999999</v>
      </c>
      <c r="D371" s="68">
        <f t="shared" si="0"/>
        <v>-182.13058639999997</v>
      </c>
      <c r="E371" s="68">
        <f t="shared" si="1"/>
        <v>-21.996719823661795</v>
      </c>
      <c r="F371" s="68">
        <f>VLOOKUP($A371,'Projections IN'!$C$4:$G$420,3,FALSE)</f>
        <v>91.442737892796345</v>
      </c>
      <c r="G371" s="68">
        <f>VLOOKUP($A371,'Projections IN'!$C$4:$G$420,4,FALSE)</f>
        <v>9.9618863987170396</v>
      </c>
      <c r="I371" s="64" t="s">
        <v>729</v>
      </c>
      <c r="J371" s="65">
        <v>26.696919402043363</v>
      </c>
    </row>
    <row r="372" spans="1:10" x14ac:dyDescent="0.25">
      <c r="A372" s="67" t="s">
        <v>427</v>
      </c>
      <c r="B372" s="68">
        <f>VLOOKUP($A372,'Trend Data IN'!$D$2:$T$418,17,FALSE)</f>
        <v>583.20263929999999</v>
      </c>
      <c r="C372" s="68">
        <f>VLOOKUP($A372,'Trend Data IN'!$D$2:$T$418,12,FALSE)</f>
        <v>614.15473799999995</v>
      </c>
      <c r="D372" s="68">
        <f t="shared" si="0"/>
        <v>-30.952098699999965</v>
      </c>
      <c r="E372" s="68">
        <f t="shared" si="1"/>
        <v>-5.039788311459704</v>
      </c>
      <c r="F372" s="68">
        <f>VLOOKUP($A372,'Projections IN'!$C$4:$G$420,3,FALSE)</f>
        <v>43.738697768057023</v>
      </c>
      <c r="G372" s="68">
        <f>VLOOKUP($A372,'Projections IN'!$C$4:$G$420,4,FALSE)</f>
        <v>6.6330728649951416</v>
      </c>
      <c r="I372" s="64" t="s">
        <v>622</v>
      </c>
      <c r="J372" s="65">
        <v>34.793072913416836</v>
      </c>
    </row>
    <row r="373" spans="1:10" x14ac:dyDescent="0.25">
      <c r="A373" s="67" t="s">
        <v>483</v>
      </c>
      <c r="B373" s="68">
        <f>VLOOKUP($A373,'Trend Data IN'!$D$2:$T$418,17,FALSE)</f>
        <v>183.4965311</v>
      </c>
      <c r="C373" s="68">
        <f>VLOOKUP($A373,'Trend Data IN'!$D$2:$T$418,12,FALSE)</f>
        <v>205.77371489999999</v>
      </c>
      <c r="D373" s="68">
        <f t="shared" si="0"/>
        <v>-22.277183799999989</v>
      </c>
      <c r="E373" s="68">
        <f t="shared" si="1"/>
        <v>-10.826059008958481</v>
      </c>
      <c r="F373" s="68">
        <f>VLOOKUP($A373,'Projections IN'!$C$4:$G$420,3,FALSE)</f>
        <v>-0.5815997302208018</v>
      </c>
      <c r="G373" s="68">
        <f>VLOOKUP($A373,'Projections IN'!$C$4:$G$420,4,FALSE)</f>
        <v>-0.28414737369430088</v>
      </c>
      <c r="I373" s="64" t="s">
        <v>758</v>
      </c>
      <c r="J373" s="65">
        <v>38.360541694115682</v>
      </c>
    </row>
    <row r="374" spans="1:10" x14ac:dyDescent="0.25">
      <c r="A374" s="67" t="s">
        <v>534</v>
      </c>
      <c r="B374" s="68">
        <f>VLOOKUP($A374,'Trend Data IN'!$D$2:$T$418,17,FALSE)</f>
        <v>486.31880280000001</v>
      </c>
      <c r="C374" s="68">
        <f>VLOOKUP($A374,'Trend Data IN'!$D$2:$T$418,12,FALSE)</f>
        <v>392.37666789999997</v>
      </c>
      <c r="D374" s="68">
        <f t="shared" si="0"/>
        <v>93.942134900000042</v>
      </c>
      <c r="E374" s="68">
        <f t="shared" si="1"/>
        <v>23.941824931328963</v>
      </c>
      <c r="F374" s="68">
        <f>VLOOKUP($A374,'Projections IN'!$C$4:$G$420,3,FALSE)</f>
        <v>20.39697798346009</v>
      </c>
      <c r="G374" s="68">
        <f>VLOOKUP($A374,'Projections IN'!$C$4:$G$420,4,FALSE)</f>
        <v>4.6488062763373348</v>
      </c>
      <c r="I374" s="64" t="s">
        <v>427</v>
      </c>
      <c r="J374" s="65">
        <v>43.738697768057023</v>
      </c>
    </row>
    <row r="375" spans="1:10" x14ac:dyDescent="0.25">
      <c r="A375" s="67" t="s">
        <v>569</v>
      </c>
      <c r="B375" s="68">
        <f>VLOOKUP($A375,'Trend Data IN'!$D$2:$T$418,17,FALSE)</f>
        <v>220.57643999999999</v>
      </c>
      <c r="C375" s="68">
        <f>VLOOKUP($A375,'Trend Data IN'!$D$2:$T$418,12,FALSE)</f>
        <v>209.87759629999999</v>
      </c>
      <c r="D375" s="68">
        <f t="shared" si="0"/>
        <v>10.698843699999998</v>
      </c>
      <c r="E375" s="68">
        <f t="shared" si="1"/>
        <v>5.0976587728339631</v>
      </c>
      <c r="F375" s="68">
        <f>VLOOKUP($A375,'Projections IN'!$C$4:$G$420,3,FALSE)</f>
        <v>12.313080475342929</v>
      </c>
      <c r="G375" s="68">
        <f>VLOOKUP($A375,'Projections IN'!$C$4:$G$420,4,FALSE)</f>
        <v>5.7378523531814292</v>
      </c>
      <c r="I375" s="64" t="s">
        <v>645</v>
      </c>
      <c r="J375" s="65">
        <v>52.136246489482119</v>
      </c>
    </row>
    <row r="376" spans="1:10" x14ac:dyDescent="0.25">
      <c r="A376" s="67" t="s">
        <v>594</v>
      </c>
      <c r="B376" s="68">
        <f>VLOOKUP($A376,'Trend Data IN'!$D$2:$T$418,17,FALSE)</f>
        <v>1108.9816542000001</v>
      </c>
      <c r="C376" s="68">
        <f>VLOOKUP($A376,'Trend Data IN'!$D$2:$T$418,12,FALSE)</f>
        <v>1023.0431364999999</v>
      </c>
      <c r="D376" s="68">
        <f t="shared" si="0"/>
        <v>85.938517700000148</v>
      </c>
      <c r="E376" s="68">
        <f t="shared" si="1"/>
        <v>8.4002829043954144</v>
      </c>
      <c r="F376" s="68">
        <f>VLOOKUP($A376,'Projections IN'!$C$4:$G$420,3,FALSE)</f>
        <v>172.43595318935195</v>
      </c>
      <c r="G376" s="68">
        <f>VLOOKUP($A376,'Projections IN'!$C$4:$G$420,4,FALSE)</f>
        <v>15.101503293594916</v>
      </c>
      <c r="I376" s="64" t="s">
        <v>359</v>
      </c>
      <c r="J376" s="65">
        <v>62.32961557705903</v>
      </c>
    </row>
    <row r="377" spans="1:10" x14ac:dyDescent="0.25">
      <c r="A377" s="67" t="s">
        <v>622</v>
      </c>
      <c r="B377" s="68">
        <f>VLOOKUP($A377,'Trend Data IN'!$D$2:$T$418,17,FALSE)</f>
        <v>388.98924529999999</v>
      </c>
      <c r="C377" s="68">
        <f>VLOOKUP($A377,'Trend Data IN'!$D$2:$T$418,12,FALSE)</f>
        <v>409.22295880000001</v>
      </c>
      <c r="D377" s="68">
        <f t="shared" si="0"/>
        <v>-20.233713500000022</v>
      </c>
      <c r="E377" s="68">
        <f t="shared" si="1"/>
        <v>-4.944422854312255</v>
      </c>
      <c r="F377" s="68">
        <f>VLOOKUP($A377,'Projections IN'!$C$4:$G$420,3,FALSE)</f>
        <v>34.793072913416836</v>
      </c>
      <c r="G377" s="68">
        <f>VLOOKUP($A377,'Projections IN'!$C$4:$G$420,4,FALSE)</f>
        <v>7.682005764462958</v>
      </c>
      <c r="I377" s="64" t="s">
        <v>409</v>
      </c>
      <c r="J377" s="65">
        <v>91.442737892796345</v>
      </c>
    </row>
    <row r="378" spans="1:10" x14ac:dyDescent="0.25">
      <c r="A378" s="67" t="s">
        <v>645</v>
      </c>
      <c r="B378" s="68">
        <f>VLOOKUP($A378,'Trend Data IN'!$D$2:$T$418,17,FALSE)</f>
        <v>849.41691309999999</v>
      </c>
      <c r="C378" s="68">
        <f>VLOOKUP($A378,'Trend Data IN'!$D$2:$T$418,12,FALSE)</f>
        <v>739.04022459999999</v>
      </c>
      <c r="D378" s="68">
        <f t="shared" si="0"/>
        <v>110.3766885</v>
      </c>
      <c r="E378" s="68">
        <f t="shared" si="1"/>
        <v>14.935139499306761</v>
      </c>
      <c r="F378" s="68">
        <f>VLOOKUP($A378,'Projections IN'!$C$4:$G$420,3,FALSE)</f>
        <v>52.136246489482119</v>
      </c>
      <c r="G378" s="68">
        <f>VLOOKUP($A378,'Projections IN'!$C$4:$G$420,4,FALSE)</f>
        <v>6.1700671126908917</v>
      </c>
      <c r="I378" s="64" t="s">
        <v>287</v>
      </c>
      <c r="J378" s="65">
        <v>113.66207577979935</v>
      </c>
    </row>
    <row r="379" spans="1:10" x14ac:dyDescent="0.25">
      <c r="A379" s="67" t="s">
        <v>675</v>
      </c>
      <c r="B379" s="68">
        <f>VLOOKUP($A379,'Trend Data IN'!$D$2:$T$418,17,FALSE)</f>
        <v>1033.1572372999999</v>
      </c>
      <c r="C379" s="68">
        <f>VLOOKUP($A379,'Trend Data IN'!$D$2:$T$418,12,FALSE)</f>
        <v>925.33381810000003</v>
      </c>
      <c r="D379" s="68">
        <f t="shared" si="0"/>
        <v>107.82341919999988</v>
      </c>
      <c r="E379" s="68">
        <f t="shared" si="1"/>
        <v>11.652380696665244</v>
      </c>
      <c r="F379" s="68">
        <f>VLOOKUP($A379,'Projections IN'!$C$4:$G$420,3,FALSE)</f>
        <v>129.34531506777239</v>
      </c>
      <c r="G379" s="68">
        <f>VLOOKUP($A379,'Projections IN'!$C$4:$G$420,4,FALSE)</f>
        <v>12.229188329029551</v>
      </c>
      <c r="I379" s="64" t="s">
        <v>675</v>
      </c>
      <c r="J379" s="65">
        <v>129.34531506777239</v>
      </c>
    </row>
    <row r="380" spans="1:10" x14ac:dyDescent="0.25">
      <c r="A380" s="67" t="s">
        <v>698</v>
      </c>
      <c r="B380" s="68">
        <f>VLOOKUP($A380,'Trend Data IN'!$D$2:$T$418,17,FALSE)</f>
        <v>1731.8942239</v>
      </c>
      <c r="C380" s="68">
        <f>VLOOKUP($A380,'Trend Data IN'!$D$2:$T$418,12,FALSE)</f>
        <v>1480.2136452</v>
      </c>
      <c r="D380" s="68">
        <f t="shared" si="0"/>
        <v>251.68057870000007</v>
      </c>
      <c r="E380" s="68">
        <f t="shared" si="1"/>
        <v>17.002990042426887</v>
      </c>
      <c r="F380" s="68">
        <f>VLOOKUP($A380,'Projections IN'!$C$4:$G$420,3,FALSE)</f>
        <v>252.56838837668101</v>
      </c>
      <c r="G380" s="68">
        <f>VLOOKUP($A380,'Projections IN'!$C$4:$G$420,4,FALSE)</f>
        <v>14.954155105895897</v>
      </c>
      <c r="I380" s="64" t="s">
        <v>594</v>
      </c>
      <c r="J380" s="65">
        <v>172.43595318935195</v>
      </c>
    </row>
    <row r="381" spans="1:10" x14ac:dyDescent="0.25">
      <c r="A381" s="67" t="s">
        <v>729</v>
      </c>
      <c r="B381" s="68">
        <f>VLOOKUP($A381,'Trend Data IN'!$D$2:$T$418,17,FALSE)</f>
        <v>160.3298992</v>
      </c>
      <c r="C381" s="68">
        <f>VLOOKUP($A381,'Trend Data IN'!$D$2:$T$418,12,FALSE)</f>
        <v>227.28970559999999</v>
      </c>
      <c r="D381" s="68">
        <f t="shared" si="0"/>
        <v>-66.959806399999991</v>
      </c>
      <c r="E381" s="68">
        <f t="shared" si="1"/>
        <v>-29.460114008788612</v>
      </c>
      <c r="F381" s="68">
        <f>VLOOKUP($A381,'Projections IN'!$C$4:$G$420,3,FALSE)</f>
        <v>26.696919402043363</v>
      </c>
      <c r="G381" s="68">
        <f>VLOOKUP($A381,'Projections IN'!$C$4:$G$420,4,FALSE)</f>
        <v>10.38128982463448</v>
      </c>
      <c r="I381" s="64" t="s">
        <v>698</v>
      </c>
      <c r="J381" s="65">
        <v>252.56838837668101</v>
      </c>
    </row>
    <row r="382" spans="1:10" x14ac:dyDescent="0.25">
      <c r="A382" s="67" t="s">
        <v>758</v>
      </c>
      <c r="B382" s="68">
        <f>VLOOKUP($A382,'Trend Data IN'!$D$2:$T$418,17,FALSE)</f>
        <v>435.84017249999999</v>
      </c>
      <c r="C382" s="68">
        <f>VLOOKUP($A382,'Trend Data IN'!$D$2:$T$418,12,FALSE)</f>
        <v>478.63300959999998</v>
      </c>
      <c r="D382" s="68">
        <f t="shared" si="0"/>
        <v>-42.792837099999986</v>
      </c>
      <c r="E382" s="68">
        <f t="shared" si="1"/>
        <v>-8.9406364044474351</v>
      </c>
      <c r="F382" s="68">
        <f>VLOOKUP($A382,'Projections IN'!$C$4:$G$420,3,FALSE)</f>
        <v>38.360541694115682</v>
      </c>
      <c r="G382" s="68">
        <f>VLOOKUP($A382,'Projections IN'!$C$4:$G$420,4,FALSE)</f>
        <v>7.3615016550090981</v>
      </c>
      <c r="I382" s="64"/>
      <c r="J382" s="65"/>
    </row>
    <row r="383" spans="1:10" x14ac:dyDescent="0.25">
      <c r="A383" s="67"/>
      <c r="B383" s="68"/>
      <c r="C383" s="68"/>
      <c r="D383" s="68"/>
      <c r="E383" s="68"/>
      <c r="F383" s="68"/>
      <c r="G383" s="68"/>
      <c r="I383" s="64"/>
      <c r="J383" s="65"/>
    </row>
    <row r="384" spans="1:10" x14ac:dyDescent="0.25">
      <c r="A384" s="67"/>
      <c r="B384" s="67"/>
      <c r="C384" s="67"/>
      <c r="D384" s="67"/>
      <c r="E384" s="67"/>
      <c r="F384" s="67"/>
      <c r="G384" s="67"/>
      <c r="I384" s="64"/>
      <c r="J384" s="64"/>
    </row>
  </sheetData>
  <sortState xmlns:xlrd2="http://schemas.microsoft.com/office/spreadsheetml/2017/richdata2" ref="I363:K381">
    <sortCondition ref="J363"/>
  </sortState>
  <phoneticPr fontId="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</sheetPr>
  <dimension ref="A1:T418"/>
  <sheetViews>
    <sheetView zoomScaleNormal="100"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ColWidth="9.7109375" defaultRowHeight="12.75" x14ac:dyDescent="0.2"/>
  <cols>
    <col min="1" max="2" width="6.7109375" style="7" customWidth="1"/>
    <col min="3" max="3" width="9.7109375" style="7" customWidth="1"/>
    <col min="4" max="4" width="42.7109375" style="7" customWidth="1"/>
    <col min="5" max="16384" width="9.7109375" style="7"/>
  </cols>
  <sheetData>
    <row r="1" spans="1:20" s="3" customFormat="1" ht="30" customHeight="1" x14ac:dyDescent="0.2">
      <c r="A1" s="1" t="s">
        <v>0</v>
      </c>
      <c r="B1" s="1" t="s">
        <v>1</v>
      </c>
      <c r="C1" s="2" t="s">
        <v>2</v>
      </c>
      <c r="D1" s="1" t="s">
        <v>3</v>
      </c>
      <c r="E1" s="77">
        <v>38473</v>
      </c>
      <c r="F1" s="77">
        <v>38838</v>
      </c>
      <c r="G1" s="77">
        <v>39203</v>
      </c>
      <c r="H1" s="77">
        <v>39569</v>
      </c>
      <c r="I1" s="77">
        <v>39934</v>
      </c>
      <c r="J1" s="77">
        <v>40299</v>
      </c>
      <c r="K1" s="77">
        <v>40664</v>
      </c>
      <c r="L1" s="77">
        <v>41030</v>
      </c>
      <c r="M1" s="77">
        <v>41395</v>
      </c>
      <c r="N1" s="77">
        <v>41760</v>
      </c>
      <c r="O1" s="77">
        <v>42125</v>
      </c>
      <c r="P1" s="77">
        <v>42491</v>
      </c>
      <c r="Q1" s="77">
        <v>42856</v>
      </c>
      <c r="R1" s="77">
        <v>43221</v>
      </c>
      <c r="S1" s="77">
        <v>43586</v>
      </c>
      <c r="T1" s="77">
        <v>43952</v>
      </c>
    </row>
    <row r="2" spans="1:20" ht="15" x14ac:dyDescent="0.25">
      <c r="A2" s="4">
        <v>1</v>
      </c>
      <c r="B2" s="4">
        <v>1</v>
      </c>
      <c r="C2" s="5" t="s">
        <v>4</v>
      </c>
      <c r="D2" s="6" t="s">
        <v>5</v>
      </c>
      <c r="E2" s="78">
        <v>354.52671470000001</v>
      </c>
      <c r="F2" s="78">
        <v>338.46410470000001</v>
      </c>
      <c r="G2" s="78">
        <v>340.15163310000003</v>
      </c>
      <c r="H2" s="78">
        <v>358.15995149999998</v>
      </c>
      <c r="I2" s="78">
        <v>340.48652049999998</v>
      </c>
      <c r="J2" s="78">
        <v>357.53628639999999</v>
      </c>
      <c r="K2" s="78">
        <v>315.27279809999999</v>
      </c>
      <c r="L2" s="78">
        <v>332.98768269999999</v>
      </c>
      <c r="M2" s="78">
        <v>293.2996425</v>
      </c>
      <c r="N2" s="78">
        <v>320.96268950000001</v>
      </c>
      <c r="O2" s="78">
        <v>292.38853810000001</v>
      </c>
      <c r="P2" s="78">
        <v>326.85256170000002</v>
      </c>
      <c r="Q2" s="78">
        <v>308.6433715</v>
      </c>
      <c r="R2" s="78">
        <v>323.7796611</v>
      </c>
      <c r="S2" s="78">
        <v>328.18810660000003</v>
      </c>
      <c r="T2" s="78">
        <v>354.54461450000002</v>
      </c>
    </row>
    <row r="3" spans="1:20" x14ac:dyDescent="0.2">
      <c r="A3" s="8">
        <v>2</v>
      </c>
      <c r="B3" s="8">
        <v>2</v>
      </c>
      <c r="C3" s="9" t="s">
        <v>6</v>
      </c>
      <c r="D3" s="10" t="s">
        <v>7</v>
      </c>
      <c r="E3" s="79">
        <v>303.21376242000002</v>
      </c>
      <c r="F3" s="79">
        <v>293.52096741000003</v>
      </c>
      <c r="G3" s="79">
        <v>299.71208445000002</v>
      </c>
      <c r="H3" s="79">
        <v>302.66169000000002</v>
      </c>
      <c r="I3" s="79">
        <v>301.30985709999999</v>
      </c>
      <c r="J3" s="79">
        <v>313.52355509</v>
      </c>
      <c r="K3" s="79">
        <v>276.9737341</v>
      </c>
      <c r="L3" s="79">
        <v>291.79332013999999</v>
      </c>
      <c r="M3" s="79">
        <v>252.44873709000001</v>
      </c>
      <c r="N3" s="79">
        <v>281.47430474999999</v>
      </c>
      <c r="O3" s="79">
        <v>253.94609954000001</v>
      </c>
      <c r="P3" s="79">
        <v>289.50996206999997</v>
      </c>
      <c r="Q3" s="79">
        <v>252.60059554</v>
      </c>
      <c r="R3" s="79">
        <v>283.91993551000002</v>
      </c>
      <c r="S3" s="79">
        <v>281.86639867000002</v>
      </c>
      <c r="T3" s="79">
        <v>318.6179975</v>
      </c>
    </row>
    <row r="4" spans="1:20" x14ac:dyDescent="0.2">
      <c r="A4" s="11">
        <v>3</v>
      </c>
      <c r="B4" s="11">
        <v>3</v>
      </c>
      <c r="C4" s="12" t="s">
        <v>8</v>
      </c>
      <c r="D4" s="13" t="s">
        <v>9</v>
      </c>
      <c r="E4" s="80">
        <v>42.891949150999999</v>
      </c>
      <c r="F4" s="80">
        <v>29.165728346000002</v>
      </c>
      <c r="G4" s="80">
        <v>29.741807576999999</v>
      </c>
      <c r="H4" s="80">
        <v>33.833049348999999</v>
      </c>
      <c r="I4" s="80">
        <v>36.414440157999998</v>
      </c>
      <c r="J4" s="80">
        <v>44.230745173999999</v>
      </c>
      <c r="K4" s="80">
        <v>39.585598208</v>
      </c>
      <c r="L4" s="80">
        <v>37.748103901</v>
      </c>
      <c r="M4" s="80">
        <v>45.873514153999999</v>
      </c>
      <c r="N4" s="80">
        <v>66.564340157999993</v>
      </c>
      <c r="O4" s="80">
        <v>62.218512922999999</v>
      </c>
      <c r="P4" s="80">
        <v>63.929640239999998</v>
      </c>
      <c r="Q4" s="80">
        <v>40.351997052000002</v>
      </c>
      <c r="R4" s="80">
        <v>42.187618886999999</v>
      </c>
      <c r="S4" s="80">
        <v>23.363647212</v>
      </c>
      <c r="T4" s="80">
        <v>45.406352779000002</v>
      </c>
    </row>
    <row r="5" spans="1:20" x14ac:dyDescent="0.2">
      <c r="A5" s="11">
        <v>4</v>
      </c>
      <c r="B5" s="11">
        <v>3</v>
      </c>
      <c r="C5" s="12" t="s">
        <v>10</v>
      </c>
      <c r="D5" s="13" t="s">
        <v>11</v>
      </c>
      <c r="E5" s="80">
        <v>14.217141120000001</v>
      </c>
      <c r="F5" s="80">
        <v>14.592195666</v>
      </c>
      <c r="G5" s="80">
        <v>18.995365211999999</v>
      </c>
      <c r="H5" s="80">
        <v>10.914405749</v>
      </c>
      <c r="I5" s="80">
        <v>14.019217941999999</v>
      </c>
      <c r="J5" s="80">
        <v>13.622441846999999</v>
      </c>
      <c r="K5" s="80">
        <v>15.393538482</v>
      </c>
      <c r="L5" s="80">
        <v>9.5649261354000004</v>
      </c>
      <c r="M5" s="80">
        <v>8.7231684326999996</v>
      </c>
      <c r="N5" s="80">
        <v>10.999098042</v>
      </c>
      <c r="O5" s="80">
        <v>12.692667273</v>
      </c>
      <c r="P5" s="80">
        <v>13.975957751999999</v>
      </c>
      <c r="Q5" s="80">
        <v>12.989271914</v>
      </c>
      <c r="R5" s="80">
        <v>10.321653877999999</v>
      </c>
      <c r="S5" s="80">
        <v>10.317241335</v>
      </c>
      <c r="T5" s="80">
        <v>9.6257733637000005</v>
      </c>
    </row>
    <row r="6" spans="1:20" x14ac:dyDescent="0.2">
      <c r="A6" s="11">
        <v>5</v>
      </c>
      <c r="B6" s="11">
        <v>3</v>
      </c>
      <c r="C6" s="12" t="s">
        <v>12</v>
      </c>
      <c r="D6" s="13" t="s">
        <v>13</v>
      </c>
      <c r="E6" s="80">
        <v>21.925012427999999</v>
      </c>
      <c r="F6" s="80">
        <v>21.922488343000001</v>
      </c>
      <c r="G6" s="80">
        <v>20.946682912</v>
      </c>
      <c r="H6" s="80">
        <v>21.270819554999999</v>
      </c>
      <c r="I6" s="80">
        <v>16.721693525999999</v>
      </c>
      <c r="J6" s="80">
        <v>20.342619319000001</v>
      </c>
      <c r="K6" s="80">
        <v>14.736320938</v>
      </c>
      <c r="L6" s="80">
        <v>19.972539230999999</v>
      </c>
      <c r="M6" s="80">
        <v>17.192065617000001</v>
      </c>
      <c r="N6" s="80">
        <v>18.229869269999998</v>
      </c>
      <c r="O6" s="80">
        <v>18.430779421</v>
      </c>
      <c r="P6" s="80">
        <v>17.286729437000002</v>
      </c>
      <c r="Q6" s="80">
        <v>18.898848724</v>
      </c>
      <c r="R6" s="80">
        <v>19.446208393999999</v>
      </c>
      <c r="S6" s="80">
        <v>22.329801311000001</v>
      </c>
      <c r="T6" s="80">
        <v>17.172743784000001</v>
      </c>
    </row>
    <row r="7" spans="1:20" x14ac:dyDescent="0.2">
      <c r="A7" s="11">
        <v>6</v>
      </c>
      <c r="B7" s="11">
        <v>3</v>
      </c>
      <c r="C7" s="12" t="s">
        <v>14</v>
      </c>
      <c r="D7" s="13" t="s">
        <v>15</v>
      </c>
      <c r="E7" s="80">
        <v>45.367514159000002</v>
      </c>
      <c r="F7" s="80">
        <v>48.011483601999998</v>
      </c>
      <c r="G7" s="80">
        <v>41.363310724999998</v>
      </c>
      <c r="H7" s="80">
        <v>27.932184412000002</v>
      </c>
      <c r="I7" s="80">
        <v>22.470596555</v>
      </c>
      <c r="J7" s="80">
        <v>30.583676354000001</v>
      </c>
      <c r="K7" s="80">
        <v>28.302465813000001</v>
      </c>
      <c r="L7" s="80">
        <v>30.484950605000002</v>
      </c>
      <c r="M7" s="80">
        <v>29.106041712</v>
      </c>
      <c r="N7" s="80">
        <v>28.706966827999999</v>
      </c>
      <c r="O7" s="80">
        <v>22.670761572</v>
      </c>
      <c r="P7" s="80">
        <v>35.907228902</v>
      </c>
      <c r="Q7" s="80">
        <v>39.362663564000002</v>
      </c>
      <c r="R7" s="80">
        <v>41.616943614</v>
      </c>
      <c r="S7" s="80">
        <v>28.830180204000001</v>
      </c>
      <c r="T7" s="80">
        <v>35.924847356000001</v>
      </c>
    </row>
    <row r="8" spans="1:20" x14ac:dyDescent="0.2">
      <c r="A8" s="11">
        <v>7</v>
      </c>
      <c r="B8" s="11">
        <v>3</v>
      </c>
      <c r="C8" s="12" t="s">
        <v>16</v>
      </c>
      <c r="D8" s="13" t="s">
        <v>17</v>
      </c>
      <c r="E8" s="80">
        <v>131.47712983</v>
      </c>
      <c r="F8" s="80">
        <v>132.12077858999999</v>
      </c>
      <c r="G8" s="80">
        <v>135.62591311</v>
      </c>
      <c r="H8" s="80">
        <v>155.39784496999999</v>
      </c>
      <c r="I8" s="80">
        <v>150.57488925000001</v>
      </c>
      <c r="J8" s="80">
        <v>138.91569869</v>
      </c>
      <c r="K8" s="80">
        <v>120.26602934</v>
      </c>
      <c r="L8" s="80">
        <v>133.32674775999999</v>
      </c>
      <c r="M8" s="80">
        <v>96.691685168000006</v>
      </c>
      <c r="N8" s="80">
        <v>119.57665586</v>
      </c>
      <c r="O8" s="80">
        <v>89.366883903000002</v>
      </c>
      <c r="P8" s="80">
        <v>96.254360031000004</v>
      </c>
      <c r="Q8" s="80">
        <v>99.220808664000003</v>
      </c>
      <c r="R8" s="80">
        <v>114.15425403</v>
      </c>
      <c r="S8" s="80">
        <v>144.13325466000001</v>
      </c>
      <c r="T8" s="80">
        <v>159.26610486000001</v>
      </c>
    </row>
    <row r="9" spans="1:20" x14ac:dyDescent="0.2">
      <c r="A9" s="11">
        <v>8</v>
      </c>
      <c r="B9" s="11">
        <v>3</v>
      </c>
      <c r="C9" s="12" t="s">
        <v>18</v>
      </c>
      <c r="D9" s="13" t="s">
        <v>19</v>
      </c>
      <c r="E9" s="80">
        <v>10.913167807000001</v>
      </c>
      <c r="F9" s="80">
        <v>8.6887391026999996</v>
      </c>
      <c r="G9" s="80">
        <v>9.8169603048000003</v>
      </c>
      <c r="H9" s="80">
        <v>13.22181791</v>
      </c>
      <c r="I9" s="80">
        <v>10.749101146999999</v>
      </c>
      <c r="J9" s="80">
        <v>12.001261512999999</v>
      </c>
      <c r="K9" s="80">
        <v>8.1100310265999997</v>
      </c>
      <c r="L9" s="80">
        <v>11.491539405999999</v>
      </c>
      <c r="M9" s="80">
        <v>13.772692707999999</v>
      </c>
      <c r="N9" s="80">
        <v>3.3977867587000001</v>
      </c>
      <c r="O9" s="80">
        <v>6.3215003902999998</v>
      </c>
      <c r="P9" s="80">
        <v>4.0351445114000004</v>
      </c>
      <c r="Q9" s="80">
        <v>4.0497939174999997</v>
      </c>
      <c r="R9" s="80">
        <v>6.9837766997999999</v>
      </c>
      <c r="S9" s="80">
        <v>4.9622910306000003</v>
      </c>
      <c r="T9" s="80">
        <v>12.135312213000001</v>
      </c>
    </row>
    <row r="10" spans="1:20" x14ac:dyDescent="0.2">
      <c r="A10" s="11">
        <v>9</v>
      </c>
      <c r="B10" s="11">
        <v>3</v>
      </c>
      <c r="C10" s="12" t="s">
        <v>20</v>
      </c>
      <c r="D10" s="13" t="s">
        <v>21</v>
      </c>
      <c r="E10" s="80">
        <v>18.880439668000001</v>
      </c>
      <c r="F10" s="80">
        <v>18.673007736999999</v>
      </c>
      <c r="G10" s="80">
        <v>27.463604835999998</v>
      </c>
      <c r="H10" s="80">
        <v>24.299056465</v>
      </c>
      <c r="I10" s="80">
        <v>23.508717655000002</v>
      </c>
      <c r="J10" s="80">
        <v>28.443714815</v>
      </c>
      <c r="K10" s="80">
        <v>26.881433951000002</v>
      </c>
      <c r="L10" s="80">
        <v>22.738312849</v>
      </c>
      <c r="M10" s="80">
        <v>20.520049026999999</v>
      </c>
      <c r="N10" s="80">
        <v>20.456314556999999</v>
      </c>
      <c r="O10" s="80">
        <v>19.562601612999998</v>
      </c>
      <c r="P10" s="80">
        <v>35.010407557000001</v>
      </c>
      <c r="Q10" s="80">
        <v>23.36306175</v>
      </c>
      <c r="R10" s="80">
        <v>26.221043674000001</v>
      </c>
      <c r="S10" s="80">
        <v>21.364351834000001</v>
      </c>
      <c r="T10" s="80">
        <v>17.823807418000001</v>
      </c>
    </row>
    <row r="11" spans="1:20" x14ac:dyDescent="0.2">
      <c r="A11" s="11">
        <v>10</v>
      </c>
      <c r="B11" s="11">
        <v>3</v>
      </c>
      <c r="C11" s="12" t="s">
        <v>22</v>
      </c>
      <c r="D11" s="13" t="s">
        <v>23</v>
      </c>
      <c r="E11" s="80">
        <v>6.3819790331000004</v>
      </c>
      <c r="F11" s="80">
        <v>8.9329446779000001</v>
      </c>
      <c r="G11" s="80">
        <v>6.6184727503999996</v>
      </c>
      <c r="H11" s="80">
        <v>4.9617735435999997</v>
      </c>
      <c r="I11" s="80">
        <v>9.0282121838999991</v>
      </c>
      <c r="J11" s="80">
        <v>7.0322853679000001</v>
      </c>
      <c r="K11" s="80">
        <v>11.611951151</v>
      </c>
      <c r="L11" s="80">
        <v>13.181233576</v>
      </c>
      <c r="M11" s="80">
        <v>6.3610674723000002</v>
      </c>
      <c r="N11" s="80">
        <v>3.6731160073</v>
      </c>
      <c r="O11" s="80">
        <v>7.5304213836000002</v>
      </c>
      <c r="P11" s="80">
        <v>14.504997642999999</v>
      </c>
      <c r="Q11" s="80">
        <v>7.6724165337999999</v>
      </c>
      <c r="R11" s="80">
        <v>12.189879982000001</v>
      </c>
      <c r="S11" s="80">
        <v>9.7905990640000002</v>
      </c>
      <c r="T11" s="80">
        <v>11.957049105999999</v>
      </c>
    </row>
    <row r="12" spans="1:20" x14ac:dyDescent="0.2">
      <c r="A12" s="11">
        <v>11</v>
      </c>
      <c r="B12" s="11">
        <v>3</v>
      </c>
      <c r="C12" s="12" t="s">
        <v>24</v>
      </c>
      <c r="D12" s="13" t="s">
        <v>25</v>
      </c>
      <c r="E12" s="80">
        <v>0.10333751319999999</v>
      </c>
      <c r="F12" s="80">
        <v>0.1020909585</v>
      </c>
      <c r="G12" s="80">
        <v>9.8745467200000006E-2</v>
      </c>
      <c r="H12" s="80">
        <v>9.5384508899999998E-2</v>
      </c>
      <c r="I12" s="80">
        <v>9.2763617500000006E-2</v>
      </c>
      <c r="J12" s="80">
        <v>0.40635627359999998</v>
      </c>
      <c r="K12" s="80">
        <v>9.3907335100000003E-2</v>
      </c>
      <c r="L12" s="80">
        <v>9.8475520400000002E-2</v>
      </c>
      <c r="M12" s="80">
        <v>0.1054203388</v>
      </c>
      <c r="N12" s="80">
        <v>0.11183877270000001</v>
      </c>
      <c r="O12" s="80">
        <v>0.11311683209999999</v>
      </c>
      <c r="P12" s="80">
        <v>0.1041812468</v>
      </c>
      <c r="Q12" s="80">
        <v>9.2807689299999996E-2</v>
      </c>
      <c r="R12" s="80">
        <v>0.17248993939999999</v>
      </c>
      <c r="S12" s="80">
        <v>0.2392596079</v>
      </c>
      <c r="T12" s="80">
        <v>7.1358798900000006E-2</v>
      </c>
    </row>
    <row r="13" spans="1:20" x14ac:dyDescent="0.2">
      <c r="A13" s="11">
        <v>12</v>
      </c>
      <c r="B13" s="11">
        <v>3</v>
      </c>
      <c r="C13" s="12" t="s">
        <v>26</v>
      </c>
      <c r="D13" s="13" t="s">
        <v>27</v>
      </c>
      <c r="E13" s="80">
        <v>11.60093593</v>
      </c>
      <c r="F13" s="80">
        <v>10.843697908999999</v>
      </c>
      <c r="G13" s="80">
        <v>8.0989075592000006</v>
      </c>
      <c r="H13" s="80">
        <v>9.8494948871000005</v>
      </c>
      <c r="I13" s="80">
        <v>16.253187748999999</v>
      </c>
      <c r="J13" s="80">
        <v>14.968489028</v>
      </c>
      <c r="K13" s="80">
        <v>10.085973035</v>
      </c>
      <c r="L13" s="80">
        <v>11.245916249</v>
      </c>
      <c r="M13" s="80">
        <v>11.726350545000001</v>
      </c>
      <c r="N13" s="80">
        <v>7.8848113646</v>
      </c>
      <c r="O13" s="80">
        <v>15.766805442000001</v>
      </c>
      <c r="P13" s="80">
        <v>12.081867075</v>
      </c>
      <c r="Q13" s="80">
        <v>7.7375544836000003</v>
      </c>
      <c r="R13" s="80">
        <v>12.996699574000001</v>
      </c>
      <c r="S13" s="80">
        <v>15.206731099000001</v>
      </c>
      <c r="T13" s="80">
        <v>11.740854809</v>
      </c>
    </row>
    <row r="14" spans="1:20" x14ac:dyDescent="0.2">
      <c r="A14" s="8">
        <v>13</v>
      </c>
      <c r="B14" s="8">
        <v>2</v>
      </c>
      <c r="C14" s="9" t="s">
        <v>28</v>
      </c>
      <c r="D14" s="10" t="s">
        <v>29</v>
      </c>
      <c r="E14" s="79">
        <v>4.6953707847999997</v>
      </c>
      <c r="F14" s="79">
        <v>3.6702895007</v>
      </c>
      <c r="G14" s="79">
        <v>4.4084127115999996</v>
      </c>
      <c r="H14" s="79">
        <v>3.7470166533999998</v>
      </c>
      <c r="I14" s="79">
        <v>5.3409811336999997</v>
      </c>
      <c r="J14" s="79">
        <v>4.2978388033000003</v>
      </c>
      <c r="K14" s="79">
        <v>3.3962281633</v>
      </c>
      <c r="L14" s="79">
        <v>2.4437266260000001</v>
      </c>
      <c r="M14" s="79">
        <v>5.5666163239999999</v>
      </c>
      <c r="N14" s="79">
        <v>7.2992458965000004</v>
      </c>
      <c r="O14" s="79">
        <v>5.3103170063</v>
      </c>
      <c r="P14" s="79">
        <v>6.6086433898000001</v>
      </c>
      <c r="Q14" s="79">
        <v>7.3307206129000004</v>
      </c>
      <c r="R14" s="79">
        <v>6.8996704814000003</v>
      </c>
      <c r="S14" s="79">
        <v>5.5627384765999999</v>
      </c>
      <c r="T14" s="79">
        <v>4.8031948132000002</v>
      </c>
    </row>
    <row r="15" spans="1:20" x14ac:dyDescent="0.2">
      <c r="A15" s="11">
        <v>14</v>
      </c>
      <c r="B15" s="11">
        <v>3</v>
      </c>
      <c r="C15" s="12" t="s">
        <v>30</v>
      </c>
      <c r="D15" s="13" t="s">
        <v>29</v>
      </c>
      <c r="E15" s="80">
        <v>4.6953707847999997</v>
      </c>
      <c r="F15" s="80">
        <v>3.6702895007</v>
      </c>
      <c r="G15" s="80">
        <v>4.4084127115999996</v>
      </c>
      <c r="H15" s="80">
        <v>3.7470166533999998</v>
      </c>
      <c r="I15" s="80">
        <v>5.3409811336999997</v>
      </c>
      <c r="J15" s="80">
        <v>4.2978388033000003</v>
      </c>
      <c r="K15" s="80">
        <v>3.3962281633</v>
      </c>
      <c r="L15" s="80">
        <v>2.4437266260000001</v>
      </c>
      <c r="M15" s="80">
        <v>5.5666163239999999</v>
      </c>
      <c r="N15" s="80">
        <v>7.2992458965000004</v>
      </c>
      <c r="O15" s="80">
        <v>5.3103170063</v>
      </c>
      <c r="P15" s="80">
        <v>6.6086433898000001</v>
      </c>
      <c r="Q15" s="80">
        <v>7.3307206129000004</v>
      </c>
      <c r="R15" s="80">
        <v>6.8996704814000003</v>
      </c>
      <c r="S15" s="80">
        <v>5.5627384765999999</v>
      </c>
      <c r="T15" s="80">
        <v>4.8031948132000002</v>
      </c>
    </row>
    <row r="16" spans="1:20" x14ac:dyDescent="0.2">
      <c r="A16" s="8">
        <v>15</v>
      </c>
      <c r="B16" s="8">
        <v>2</v>
      </c>
      <c r="C16" s="9" t="s">
        <v>31</v>
      </c>
      <c r="D16" s="10" t="s">
        <v>32</v>
      </c>
      <c r="E16" s="79">
        <v>10.216698929</v>
      </c>
      <c r="F16" s="79">
        <v>8.4160167464000004</v>
      </c>
      <c r="G16" s="79">
        <v>6.8597585992000001</v>
      </c>
      <c r="H16" s="79">
        <v>10.029926787999999</v>
      </c>
      <c r="I16" s="79">
        <v>7.0150766825000002</v>
      </c>
      <c r="J16" s="79">
        <v>7.2279766969999999</v>
      </c>
      <c r="K16" s="79">
        <v>5.1933297638000004</v>
      </c>
      <c r="L16" s="79">
        <v>9.4044094866000005</v>
      </c>
      <c r="M16" s="79">
        <v>4.8790315103999999</v>
      </c>
      <c r="N16" s="79">
        <v>6.7526327401000001</v>
      </c>
      <c r="O16" s="79">
        <v>3.8005385802</v>
      </c>
      <c r="P16" s="79">
        <v>7.347613119</v>
      </c>
      <c r="Q16" s="79">
        <v>8.3034645764999997</v>
      </c>
      <c r="R16" s="79">
        <v>7.2783523079999997</v>
      </c>
      <c r="S16" s="79">
        <v>5.4346079852000004</v>
      </c>
      <c r="T16" s="79">
        <v>3.6244224818999999</v>
      </c>
    </row>
    <row r="17" spans="1:20" x14ac:dyDescent="0.2">
      <c r="A17" s="11">
        <v>16</v>
      </c>
      <c r="B17" s="11">
        <v>3</v>
      </c>
      <c r="C17" s="12" t="s">
        <v>33</v>
      </c>
      <c r="D17" s="13" t="s">
        <v>32</v>
      </c>
      <c r="E17" s="80">
        <v>10.216698929</v>
      </c>
      <c r="F17" s="80">
        <v>8.4160167464000004</v>
      </c>
      <c r="G17" s="80">
        <v>6.8597585992000001</v>
      </c>
      <c r="H17" s="80">
        <v>10.029926787999999</v>
      </c>
      <c r="I17" s="80">
        <v>7.0150766825000002</v>
      </c>
      <c r="J17" s="80">
        <v>7.2279766969999999</v>
      </c>
      <c r="K17" s="80">
        <v>5.1933297638000004</v>
      </c>
      <c r="L17" s="80">
        <v>9.4044094866000005</v>
      </c>
      <c r="M17" s="80">
        <v>4.8790315103999999</v>
      </c>
      <c r="N17" s="80">
        <v>6.7526327401000001</v>
      </c>
      <c r="O17" s="80">
        <v>3.8005385802</v>
      </c>
      <c r="P17" s="80">
        <v>7.347613119</v>
      </c>
      <c r="Q17" s="80">
        <v>8.3034645764999997</v>
      </c>
      <c r="R17" s="80">
        <v>7.2783523079999997</v>
      </c>
      <c r="S17" s="80">
        <v>5.4346079852000004</v>
      </c>
      <c r="T17" s="80">
        <v>3.6244224818999999</v>
      </c>
    </row>
    <row r="18" spans="1:20" x14ac:dyDescent="0.2">
      <c r="A18" s="8">
        <v>17</v>
      </c>
      <c r="B18" s="8">
        <v>2</v>
      </c>
      <c r="C18" s="9" t="s">
        <v>34</v>
      </c>
      <c r="D18" s="10" t="s">
        <v>35</v>
      </c>
      <c r="E18" s="79">
        <v>8.0183161437999999</v>
      </c>
      <c r="F18" s="79">
        <v>7.0748266360000001</v>
      </c>
      <c r="G18" s="79">
        <v>6.2279228952999999</v>
      </c>
      <c r="H18" s="79">
        <v>8.7340398802999992</v>
      </c>
      <c r="I18" s="79">
        <v>3.2067554186999998</v>
      </c>
      <c r="J18" s="79">
        <v>10.17617871</v>
      </c>
      <c r="K18" s="79">
        <v>5.7338376355999996</v>
      </c>
      <c r="L18" s="79">
        <v>7.7468050146999996</v>
      </c>
      <c r="M18" s="79">
        <v>5.8463481975000002</v>
      </c>
      <c r="N18" s="79">
        <v>4.0662354919999997</v>
      </c>
      <c r="O18" s="79">
        <v>6.8031251898000002</v>
      </c>
      <c r="P18" s="79">
        <v>6.0973029439999999</v>
      </c>
      <c r="Q18" s="79">
        <v>8.4126340513999995</v>
      </c>
      <c r="R18" s="79">
        <v>5.4006260196999998</v>
      </c>
      <c r="S18" s="79">
        <v>6.4993569740000003</v>
      </c>
      <c r="T18" s="79">
        <v>5.5940612704000001</v>
      </c>
    </row>
    <row r="19" spans="1:20" x14ac:dyDescent="0.2">
      <c r="A19" s="11">
        <v>18</v>
      </c>
      <c r="B19" s="11">
        <v>3</v>
      </c>
      <c r="C19" s="12" t="s">
        <v>36</v>
      </c>
      <c r="D19" s="13" t="s">
        <v>37</v>
      </c>
      <c r="E19" s="80">
        <v>3.3237371864999998</v>
      </c>
      <c r="F19" s="80">
        <v>0.85555133380000004</v>
      </c>
      <c r="G19" s="80">
        <v>1.2307846360000001</v>
      </c>
      <c r="H19" s="80">
        <v>3.0154815294000001</v>
      </c>
      <c r="I19" s="80">
        <v>0.41781857779999998</v>
      </c>
      <c r="J19" s="80">
        <v>1.7272112632000001</v>
      </c>
      <c r="K19" s="80">
        <v>1.1789134257</v>
      </c>
      <c r="L19" s="80">
        <v>1.1304008002000001</v>
      </c>
      <c r="M19" s="80">
        <v>9.1437304900000002E-2</v>
      </c>
      <c r="N19" s="80">
        <v>0.1389683357</v>
      </c>
      <c r="O19" s="80">
        <v>0.13985385389999999</v>
      </c>
      <c r="P19" s="80">
        <v>1.6006949621</v>
      </c>
      <c r="Q19" s="80">
        <v>0.16597248980000001</v>
      </c>
      <c r="R19" s="80">
        <v>0.13581383059999999</v>
      </c>
      <c r="S19" s="80">
        <v>0.23210355329999999</v>
      </c>
      <c r="T19" s="80">
        <v>0.30216194639999999</v>
      </c>
    </row>
    <row r="20" spans="1:20" x14ac:dyDescent="0.2">
      <c r="A20" s="11">
        <v>19</v>
      </c>
      <c r="B20" s="11">
        <v>3</v>
      </c>
      <c r="C20" s="12" t="s">
        <v>38</v>
      </c>
      <c r="D20" s="13" t="s">
        <v>39</v>
      </c>
      <c r="E20" s="80">
        <v>5.5048396898999998</v>
      </c>
      <c r="F20" s="80">
        <v>5.3148383297999997</v>
      </c>
      <c r="G20" s="80">
        <v>5.4157780841000003</v>
      </c>
      <c r="H20" s="80">
        <v>5.6816774633999998</v>
      </c>
      <c r="I20" s="80">
        <v>2.8638148659999998</v>
      </c>
      <c r="J20" s="80">
        <v>4.8514565528000002</v>
      </c>
      <c r="K20" s="80">
        <v>4.0007597051000001</v>
      </c>
      <c r="L20" s="80">
        <v>6.4838435311999998</v>
      </c>
      <c r="M20" s="80">
        <v>5.6368033104000004</v>
      </c>
      <c r="N20" s="80">
        <v>3.4802928501000001</v>
      </c>
      <c r="O20" s="80">
        <v>5.9549645025000002</v>
      </c>
      <c r="P20" s="80">
        <v>5.1158198412000004</v>
      </c>
      <c r="Q20" s="80">
        <v>8.3049499803</v>
      </c>
      <c r="R20" s="80">
        <v>5.1893865335999996</v>
      </c>
      <c r="S20" s="80">
        <v>6.1274124391000004</v>
      </c>
      <c r="T20" s="80">
        <v>4.7354552492000002</v>
      </c>
    </row>
    <row r="21" spans="1:20" x14ac:dyDescent="0.2">
      <c r="A21" s="11">
        <v>20</v>
      </c>
      <c r="B21" s="11">
        <v>3</v>
      </c>
      <c r="C21" s="12" t="s">
        <v>40</v>
      </c>
      <c r="D21" s="13" t="s">
        <v>41</v>
      </c>
      <c r="E21" s="80">
        <v>0.11961577750000001</v>
      </c>
      <c r="F21" s="80">
        <v>1.2909580134</v>
      </c>
      <c r="G21" s="80">
        <v>0.1069432701</v>
      </c>
      <c r="H21" s="80">
        <v>0.76361916340000002</v>
      </c>
      <c r="I21" s="80">
        <v>7.5950670999999997E-2</v>
      </c>
      <c r="J21" s="80">
        <v>2.3584751368000001</v>
      </c>
      <c r="K21" s="80">
        <v>0.30977827460000001</v>
      </c>
      <c r="L21" s="80">
        <v>0.1774586954</v>
      </c>
      <c r="M21" s="80">
        <v>0.31717493940000002</v>
      </c>
      <c r="N21" s="80">
        <v>0.41727670630000002</v>
      </c>
      <c r="O21" s="80">
        <v>0.71901213180000001</v>
      </c>
      <c r="P21" s="80">
        <v>8.9970195599999997E-2</v>
      </c>
      <c r="Q21" s="80">
        <v>0.1162572701</v>
      </c>
      <c r="R21" s="80">
        <v>0.14368307860000001</v>
      </c>
      <c r="S21" s="80">
        <v>0.16718091800000001</v>
      </c>
      <c r="T21" s="80">
        <v>0.89621054259999999</v>
      </c>
    </row>
    <row r="22" spans="1:20" x14ac:dyDescent="0.2">
      <c r="A22" s="8">
        <v>21</v>
      </c>
      <c r="B22" s="8">
        <v>2</v>
      </c>
      <c r="C22" s="9" t="s">
        <v>42</v>
      </c>
      <c r="D22" s="10" t="s">
        <v>43</v>
      </c>
      <c r="E22" s="79">
        <v>26.426181257</v>
      </c>
      <c r="F22" s="79">
        <v>24.413627582</v>
      </c>
      <c r="G22" s="79">
        <v>21.253753976999999</v>
      </c>
      <c r="H22" s="79">
        <v>31.088114122</v>
      </c>
      <c r="I22" s="79">
        <v>20.895440202</v>
      </c>
      <c r="J22" s="79">
        <v>19.877142137</v>
      </c>
      <c r="K22" s="79">
        <v>22.184477419</v>
      </c>
      <c r="L22" s="79">
        <v>22.806239793</v>
      </c>
      <c r="M22" s="79">
        <v>22.048661684999999</v>
      </c>
      <c r="N22" s="79">
        <v>21.651745207000001</v>
      </c>
      <c r="O22" s="79">
        <v>21.514636698</v>
      </c>
      <c r="P22" s="79">
        <v>20.355082563</v>
      </c>
      <c r="Q22" s="79">
        <v>33.184192592999999</v>
      </c>
      <c r="R22" s="79">
        <v>22.576393826</v>
      </c>
      <c r="S22" s="79">
        <v>30.225994056000001</v>
      </c>
      <c r="T22" s="79">
        <v>23.882356154</v>
      </c>
    </row>
    <row r="23" spans="1:20" x14ac:dyDescent="0.2">
      <c r="A23" s="11">
        <v>22</v>
      </c>
      <c r="B23" s="11">
        <v>3</v>
      </c>
      <c r="C23" s="12" t="s">
        <v>44</v>
      </c>
      <c r="D23" s="13" t="s">
        <v>45</v>
      </c>
      <c r="E23" s="80">
        <v>9.92397634E-2</v>
      </c>
      <c r="F23" s="80">
        <v>9.8668105699999994E-2</v>
      </c>
      <c r="G23" s="80">
        <v>9.8875774999999999E-2</v>
      </c>
      <c r="H23" s="80">
        <v>9.9487030500000004E-2</v>
      </c>
      <c r="I23" s="80">
        <v>0.1004656094</v>
      </c>
      <c r="J23" s="80">
        <v>9.97876122E-2</v>
      </c>
      <c r="K23" s="80">
        <v>0.53494865390000002</v>
      </c>
      <c r="L23" s="80">
        <v>9.5439915700000003E-2</v>
      </c>
      <c r="M23" s="80">
        <v>9.3695652899999995E-2</v>
      </c>
      <c r="N23" s="80">
        <v>9.3908214800000001E-2</v>
      </c>
      <c r="O23" s="80">
        <v>9.5586378400000005E-2</v>
      </c>
      <c r="P23" s="80">
        <v>9.6354320399999999E-2</v>
      </c>
      <c r="Q23" s="80">
        <v>0.5985759585</v>
      </c>
      <c r="R23" s="80">
        <v>9.4722747499999996E-2</v>
      </c>
      <c r="S23" s="80">
        <v>9.5302346999999996E-2</v>
      </c>
      <c r="T23" s="80">
        <v>9.6341954199999996E-2</v>
      </c>
    </row>
    <row r="24" spans="1:20" x14ac:dyDescent="0.2">
      <c r="A24" s="11">
        <v>23</v>
      </c>
      <c r="B24" s="11">
        <v>3</v>
      </c>
      <c r="C24" s="12" t="s">
        <v>46</v>
      </c>
      <c r="D24" s="13" t="s">
        <v>47</v>
      </c>
      <c r="E24" s="80">
        <v>3.4792667438999998</v>
      </c>
      <c r="F24" s="80">
        <v>2.8527609700999998</v>
      </c>
      <c r="G24" s="80">
        <v>2.2405250110999999</v>
      </c>
      <c r="H24" s="80">
        <v>5.6512297891000003</v>
      </c>
      <c r="I24" s="80">
        <v>1.6818978563</v>
      </c>
      <c r="J24" s="80">
        <v>3.7311026829</v>
      </c>
      <c r="K24" s="80">
        <v>3.6183790987000002</v>
      </c>
      <c r="L24" s="80">
        <v>2.5856278426000001</v>
      </c>
      <c r="M24" s="80">
        <v>3.2148099148</v>
      </c>
      <c r="N24" s="80">
        <v>2.2021931349999999</v>
      </c>
      <c r="O24" s="80">
        <v>3.1010708006000001</v>
      </c>
      <c r="P24" s="80">
        <v>4.9258378651000001</v>
      </c>
      <c r="Q24" s="80">
        <v>5.3824244855999996</v>
      </c>
      <c r="R24" s="80">
        <v>2.2255871271999998</v>
      </c>
      <c r="S24" s="80">
        <v>4.4760236677999998</v>
      </c>
      <c r="T24" s="80">
        <v>4.1983590535999999</v>
      </c>
    </row>
    <row r="25" spans="1:20" x14ac:dyDescent="0.2">
      <c r="A25" s="11">
        <v>24</v>
      </c>
      <c r="B25" s="11">
        <v>3</v>
      </c>
      <c r="C25" s="12" t="s">
        <v>48</v>
      </c>
      <c r="D25" s="13" t="s">
        <v>49</v>
      </c>
      <c r="E25" s="80">
        <v>22.582842096</v>
      </c>
      <c r="F25" s="80">
        <v>21.214527544999999</v>
      </c>
      <c r="G25" s="80">
        <v>18.708802456000001</v>
      </c>
      <c r="H25" s="80">
        <v>24.567971530000001</v>
      </c>
      <c r="I25" s="80">
        <v>19.053313122999999</v>
      </c>
      <c r="J25" s="80">
        <v>15.791743379</v>
      </c>
      <c r="K25" s="80">
        <v>17.831372868999999</v>
      </c>
      <c r="L25" s="80">
        <v>20.171794163000001</v>
      </c>
      <c r="M25" s="80">
        <v>18.756950109000002</v>
      </c>
      <c r="N25" s="80">
        <v>19.519170807999998</v>
      </c>
      <c r="O25" s="80">
        <v>18.338719022999999</v>
      </c>
      <c r="P25" s="80">
        <v>15.028937947999999</v>
      </c>
      <c r="Q25" s="80">
        <v>26.83386475</v>
      </c>
      <c r="R25" s="80">
        <v>20.205024628</v>
      </c>
      <c r="S25" s="80">
        <v>25.329349959999998</v>
      </c>
      <c r="T25" s="80">
        <v>19.268628493000001</v>
      </c>
    </row>
    <row r="26" spans="1:20" x14ac:dyDescent="0.2">
      <c r="A26" s="8">
        <v>25</v>
      </c>
      <c r="B26" s="8">
        <v>2</v>
      </c>
      <c r="C26" s="9" t="s">
        <v>50</v>
      </c>
      <c r="D26" s="10" t="s">
        <v>51</v>
      </c>
      <c r="E26" s="79">
        <v>2.7736119690000001</v>
      </c>
      <c r="F26" s="79">
        <v>1.4956519844</v>
      </c>
      <c r="G26" s="79">
        <v>0.98674188529999995</v>
      </c>
      <c r="H26" s="79">
        <v>0.42960764610000002</v>
      </c>
      <c r="I26" s="79">
        <v>1.5721406882</v>
      </c>
      <c r="J26" s="79">
        <v>1.9070207567999999</v>
      </c>
      <c r="K26" s="79">
        <v>2.5233077212000001</v>
      </c>
      <c r="L26" s="79">
        <v>0.59159035709999996</v>
      </c>
      <c r="M26" s="79">
        <v>4.7114148365000004</v>
      </c>
      <c r="N26" s="79">
        <v>2.8926691595</v>
      </c>
      <c r="O26" s="79">
        <v>4.2139157798999998</v>
      </c>
      <c r="P26" s="79">
        <v>0.80472742949999998</v>
      </c>
      <c r="Q26" s="79">
        <v>0.93612351810000005</v>
      </c>
      <c r="R26" s="79">
        <v>0.85800435360000005</v>
      </c>
      <c r="S26" s="79">
        <v>0.1444914313</v>
      </c>
      <c r="T26" s="79">
        <v>0.15539381899999999</v>
      </c>
    </row>
    <row r="27" spans="1:20" x14ac:dyDescent="0.2">
      <c r="A27" s="11">
        <v>26</v>
      </c>
      <c r="B27" s="11">
        <v>3</v>
      </c>
      <c r="C27" s="12" t="s">
        <v>52</v>
      </c>
      <c r="D27" s="13" t="s">
        <v>51</v>
      </c>
      <c r="E27" s="80">
        <v>2.7736119690000001</v>
      </c>
      <c r="F27" s="80">
        <v>1.4956519844</v>
      </c>
      <c r="G27" s="80">
        <v>0.98674188529999995</v>
      </c>
      <c r="H27" s="80">
        <v>0.42960764610000002</v>
      </c>
      <c r="I27" s="80">
        <v>1.5721406882</v>
      </c>
      <c r="J27" s="80">
        <v>1.9070207567999999</v>
      </c>
      <c r="K27" s="80">
        <v>2.5233077212000001</v>
      </c>
      <c r="L27" s="80">
        <v>0.59159035709999996</v>
      </c>
      <c r="M27" s="80">
        <v>4.7114148365000004</v>
      </c>
      <c r="N27" s="80">
        <v>2.8926691595</v>
      </c>
      <c r="O27" s="80">
        <v>4.2139157798999998</v>
      </c>
      <c r="P27" s="80">
        <v>0.80472742949999998</v>
      </c>
      <c r="Q27" s="80">
        <v>0.93612351810000005</v>
      </c>
      <c r="R27" s="80">
        <v>0.85800435360000005</v>
      </c>
      <c r="S27" s="80">
        <v>0.1444914313</v>
      </c>
      <c r="T27" s="80">
        <v>0.15539381899999999</v>
      </c>
    </row>
    <row r="28" spans="1:20" ht="15" x14ac:dyDescent="0.25">
      <c r="A28" s="4">
        <v>27</v>
      </c>
      <c r="B28" s="4">
        <v>1</v>
      </c>
      <c r="C28" s="5" t="s">
        <v>53</v>
      </c>
      <c r="D28" s="6" t="s">
        <v>54</v>
      </c>
      <c r="E28" s="78">
        <v>113.4916569</v>
      </c>
      <c r="F28" s="78">
        <v>133.31724220000001</v>
      </c>
      <c r="G28" s="78">
        <v>135.5738121</v>
      </c>
      <c r="H28" s="78">
        <v>167.77537699999999</v>
      </c>
      <c r="I28" s="78">
        <v>157.8174358</v>
      </c>
      <c r="J28" s="78">
        <v>183.17555150000001</v>
      </c>
      <c r="K28" s="78">
        <v>218.20197289999999</v>
      </c>
      <c r="L28" s="78">
        <v>278.38463410000003</v>
      </c>
      <c r="M28" s="78">
        <v>259.80648619999999</v>
      </c>
      <c r="N28" s="78">
        <v>259.35035879999998</v>
      </c>
      <c r="O28" s="78">
        <v>223.12578450000001</v>
      </c>
      <c r="P28" s="78">
        <v>219.5362404</v>
      </c>
      <c r="Q28" s="78">
        <v>218.6122866</v>
      </c>
      <c r="R28" s="78">
        <v>237.87717939999999</v>
      </c>
      <c r="S28" s="78">
        <v>246.26802910000001</v>
      </c>
      <c r="T28" s="78">
        <v>233.31110820000001</v>
      </c>
    </row>
    <row r="29" spans="1:20" x14ac:dyDescent="0.2">
      <c r="A29" s="8">
        <v>28</v>
      </c>
      <c r="B29" s="8">
        <v>2</v>
      </c>
      <c r="C29" s="9" t="s">
        <v>55</v>
      </c>
      <c r="D29" s="10" t="s">
        <v>56</v>
      </c>
      <c r="E29" s="79">
        <v>27.773541223999999</v>
      </c>
      <c r="F29" s="79">
        <v>29.891994542999999</v>
      </c>
      <c r="G29" s="79">
        <v>23.846568339000001</v>
      </c>
      <c r="H29" s="79">
        <v>29.655684090000001</v>
      </c>
      <c r="I29" s="79">
        <v>33.017994168999998</v>
      </c>
      <c r="J29" s="79">
        <v>36.724225713000003</v>
      </c>
      <c r="K29" s="79">
        <v>48.543229619000002</v>
      </c>
      <c r="L29" s="79">
        <v>61.128052992999997</v>
      </c>
      <c r="M29" s="79">
        <v>46.987460609000003</v>
      </c>
      <c r="N29" s="79">
        <v>58.072907346000001</v>
      </c>
      <c r="O29" s="79">
        <v>38.222619274000003</v>
      </c>
      <c r="P29" s="79">
        <v>41.876417322000002</v>
      </c>
      <c r="Q29" s="79">
        <v>45.829773367000001</v>
      </c>
      <c r="R29" s="79">
        <v>51.945647907999998</v>
      </c>
      <c r="S29" s="79">
        <v>55.735095749999999</v>
      </c>
      <c r="T29" s="79">
        <v>50.060412331000002</v>
      </c>
    </row>
    <row r="30" spans="1:20" x14ac:dyDescent="0.2">
      <c r="A30" s="11">
        <v>29</v>
      </c>
      <c r="B30" s="11">
        <v>3</v>
      </c>
      <c r="C30" s="12" t="s">
        <v>57</v>
      </c>
      <c r="D30" s="13" t="s">
        <v>56</v>
      </c>
      <c r="E30" s="80">
        <v>27.773541223999999</v>
      </c>
      <c r="F30" s="80">
        <v>29.891994542999999</v>
      </c>
      <c r="G30" s="80">
        <v>23.846568339000001</v>
      </c>
      <c r="H30" s="80">
        <v>29.655684090000001</v>
      </c>
      <c r="I30" s="80">
        <v>33.017994168999998</v>
      </c>
      <c r="J30" s="80">
        <v>36.724225713000003</v>
      </c>
      <c r="K30" s="80">
        <v>48.543229619000002</v>
      </c>
      <c r="L30" s="80">
        <v>61.128052992999997</v>
      </c>
      <c r="M30" s="80">
        <v>46.987460609000003</v>
      </c>
      <c r="N30" s="80">
        <v>58.072907346000001</v>
      </c>
      <c r="O30" s="80">
        <v>38.222619274000003</v>
      </c>
      <c r="P30" s="80">
        <v>41.876417322000002</v>
      </c>
      <c r="Q30" s="80">
        <v>45.829773367000001</v>
      </c>
      <c r="R30" s="80">
        <v>51.945647907999998</v>
      </c>
      <c r="S30" s="80">
        <v>55.735095749999999</v>
      </c>
      <c r="T30" s="80">
        <v>50.060412331000002</v>
      </c>
    </row>
    <row r="31" spans="1:20" x14ac:dyDescent="0.2">
      <c r="A31" s="8">
        <v>30</v>
      </c>
      <c r="B31" s="8">
        <v>2</v>
      </c>
      <c r="C31" s="9" t="s">
        <v>58</v>
      </c>
      <c r="D31" s="10" t="s">
        <v>59</v>
      </c>
      <c r="E31" s="79">
        <v>6.4207415543000002</v>
      </c>
      <c r="F31" s="79">
        <v>10.317333368</v>
      </c>
      <c r="G31" s="79">
        <v>10.705913786</v>
      </c>
      <c r="H31" s="79">
        <v>10.981617323</v>
      </c>
      <c r="I31" s="79">
        <v>13.747625744</v>
      </c>
      <c r="J31" s="79">
        <v>16.878876599000002</v>
      </c>
      <c r="K31" s="79">
        <v>11.694918835999999</v>
      </c>
      <c r="L31" s="79">
        <v>13.659459081</v>
      </c>
      <c r="M31" s="79">
        <v>21.954487641</v>
      </c>
      <c r="N31" s="79">
        <v>24.985446755000002</v>
      </c>
      <c r="O31" s="79">
        <v>26.088940495999999</v>
      </c>
      <c r="P31" s="79">
        <v>24.284200741999999</v>
      </c>
      <c r="Q31" s="79">
        <v>17.904547583999999</v>
      </c>
      <c r="R31" s="79">
        <v>29.976451562000001</v>
      </c>
      <c r="S31" s="79">
        <v>26.811315006000001</v>
      </c>
      <c r="T31" s="79">
        <v>21.395178992000002</v>
      </c>
    </row>
    <row r="32" spans="1:20" x14ac:dyDescent="0.2">
      <c r="A32" s="11">
        <v>31</v>
      </c>
      <c r="B32" s="11">
        <v>3</v>
      </c>
      <c r="C32" s="12" t="s">
        <v>60</v>
      </c>
      <c r="D32" s="13" t="s">
        <v>59</v>
      </c>
      <c r="E32" s="80">
        <v>6.4207415543000002</v>
      </c>
      <c r="F32" s="80">
        <v>10.317333368</v>
      </c>
      <c r="G32" s="80">
        <v>10.705913786</v>
      </c>
      <c r="H32" s="80">
        <v>10.981617323</v>
      </c>
      <c r="I32" s="80">
        <v>13.747625744</v>
      </c>
      <c r="J32" s="80">
        <v>16.878876599000002</v>
      </c>
      <c r="K32" s="80">
        <v>11.694918835999999</v>
      </c>
      <c r="L32" s="80">
        <v>13.659459081</v>
      </c>
      <c r="M32" s="80">
        <v>21.954487641</v>
      </c>
      <c r="N32" s="80">
        <v>24.985446755000002</v>
      </c>
      <c r="O32" s="80">
        <v>26.088940495999999</v>
      </c>
      <c r="P32" s="80">
        <v>24.284200741999999</v>
      </c>
      <c r="Q32" s="80">
        <v>17.904547583999999</v>
      </c>
      <c r="R32" s="80">
        <v>29.976451562000001</v>
      </c>
      <c r="S32" s="80">
        <v>26.811315006000001</v>
      </c>
      <c r="T32" s="80">
        <v>21.395178992000002</v>
      </c>
    </row>
    <row r="33" spans="1:20" x14ac:dyDescent="0.2">
      <c r="A33" s="8">
        <v>32</v>
      </c>
      <c r="B33" s="8">
        <v>2</v>
      </c>
      <c r="C33" s="9" t="s">
        <v>61</v>
      </c>
      <c r="D33" s="10" t="s">
        <v>62</v>
      </c>
      <c r="E33" s="79">
        <v>37.741809289000003</v>
      </c>
      <c r="F33" s="79">
        <v>44.976047737999998</v>
      </c>
      <c r="G33" s="79">
        <v>40.669782239</v>
      </c>
      <c r="H33" s="79">
        <v>53.500290974999999</v>
      </c>
      <c r="I33" s="79">
        <v>48.223055780000003</v>
      </c>
      <c r="J33" s="79">
        <v>57.341873012000001</v>
      </c>
      <c r="K33" s="79">
        <v>79.629480532000002</v>
      </c>
      <c r="L33" s="79">
        <v>87.328897948999995</v>
      </c>
      <c r="M33" s="79">
        <v>79.388114232999996</v>
      </c>
      <c r="N33" s="79">
        <v>65.128187066999999</v>
      </c>
      <c r="O33" s="79">
        <v>65.525914369999995</v>
      </c>
      <c r="P33" s="79">
        <v>60.091913705000003</v>
      </c>
      <c r="Q33" s="79">
        <v>77.417287430000002</v>
      </c>
      <c r="R33" s="79">
        <v>75.341378519000003</v>
      </c>
      <c r="S33" s="79">
        <v>105.35061119</v>
      </c>
      <c r="T33" s="79">
        <v>98.657654174000001</v>
      </c>
    </row>
    <row r="34" spans="1:20" x14ac:dyDescent="0.2">
      <c r="A34" s="11">
        <v>33</v>
      </c>
      <c r="B34" s="11">
        <v>3</v>
      </c>
      <c r="C34" s="12" t="s">
        <v>63</v>
      </c>
      <c r="D34" s="13" t="s">
        <v>62</v>
      </c>
      <c r="E34" s="80">
        <v>37.741809289000003</v>
      </c>
      <c r="F34" s="80">
        <v>44.976047737999998</v>
      </c>
      <c r="G34" s="80">
        <v>40.669782239</v>
      </c>
      <c r="H34" s="80">
        <v>53.500290974999999</v>
      </c>
      <c r="I34" s="80">
        <v>48.223055780000003</v>
      </c>
      <c r="J34" s="80">
        <v>57.341873012000001</v>
      </c>
      <c r="K34" s="80">
        <v>79.629480532000002</v>
      </c>
      <c r="L34" s="80">
        <v>87.328897948999995</v>
      </c>
      <c r="M34" s="80">
        <v>79.388114232999996</v>
      </c>
      <c r="N34" s="80">
        <v>65.128187066999999</v>
      </c>
      <c r="O34" s="80">
        <v>65.525914369999995</v>
      </c>
      <c r="P34" s="80">
        <v>60.091913705000003</v>
      </c>
      <c r="Q34" s="80">
        <v>77.417287430000002</v>
      </c>
      <c r="R34" s="80">
        <v>75.341378519000003</v>
      </c>
      <c r="S34" s="80">
        <v>105.35061119</v>
      </c>
      <c r="T34" s="80">
        <v>98.657654174000001</v>
      </c>
    </row>
    <row r="35" spans="1:20" x14ac:dyDescent="0.2">
      <c r="A35" s="8">
        <v>34</v>
      </c>
      <c r="B35" s="8">
        <v>2</v>
      </c>
      <c r="C35" s="9" t="s">
        <v>64</v>
      </c>
      <c r="D35" s="10" t="s">
        <v>65</v>
      </c>
      <c r="E35" s="79">
        <v>8.0751873517000003</v>
      </c>
      <c r="F35" s="79">
        <v>10.441134262</v>
      </c>
      <c r="G35" s="79">
        <v>9.4238841674000007</v>
      </c>
      <c r="H35" s="79">
        <v>10.928152629</v>
      </c>
      <c r="I35" s="79">
        <v>10.153365601999999</v>
      </c>
      <c r="J35" s="79">
        <v>10.920139238999999</v>
      </c>
      <c r="K35" s="79">
        <v>7.1527667921000004</v>
      </c>
      <c r="L35" s="79">
        <v>18.074198088999999</v>
      </c>
      <c r="M35" s="79">
        <v>12.619418015999999</v>
      </c>
      <c r="N35" s="79">
        <v>15.722209424000001</v>
      </c>
      <c r="O35" s="79">
        <v>12.006998694</v>
      </c>
      <c r="P35" s="79">
        <v>12.361219605</v>
      </c>
      <c r="Q35" s="79">
        <v>10.177847209999999</v>
      </c>
      <c r="R35" s="79">
        <v>14.928142042999999</v>
      </c>
      <c r="S35" s="79">
        <v>15.657988482</v>
      </c>
      <c r="T35" s="79">
        <v>8.1596655954999999</v>
      </c>
    </row>
    <row r="36" spans="1:20" x14ac:dyDescent="0.2">
      <c r="A36" s="11">
        <v>35</v>
      </c>
      <c r="B36" s="11">
        <v>3</v>
      </c>
      <c r="C36" s="12" t="s">
        <v>66</v>
      </c>
      <c r="D36" s="13" t="s">
        <v>67</v>
      </c>
      <c r="E36" s="80">
        <v>2.087526934</v>
      </c>
      <c r="F36" s="80">
        <v>3.3148580895999999</v>
      </c>
      <c r="G36" s="80">
        <v>3.3942062059000002</v>
      </c>
      <c r="H36" s="80">
        <v>2.6427546828000001</v>
      </c>
      <c r="I36" s="80">
        <v>4.0292420734999999</v>
      </c>
      <c r="J36" s="80">
        <v>4.0984913899000004</v>
      </c>
      <c r="K36" s="80">
        <v>1.1505601396</v>
      </c>
      <c r="L36" s="80">
        <v>5.6033985391999996</v>
      </c>
      <c r="M36" s="80">
        <v>3.2330551090999999</v>
      </c>
      <c r="N36" s="80">
        <v>2.9629533121999998</v>
      </c>
      <c r="O36" s="80">
        <v>4.0330522273999998</v>
      </c>
      <c r="P36" s="80">
        <v>2.6829264661000001</v>
      </c>
      <c r="Q36" s="80">
        <v>4.7768966733999996</v>
      </c>
      <c r="R36" s="80">
        <v>3.0302766194999999</v>
      </c>
      <c r="S36" s="80">
        <v>3.5065136242000001</v>
      </c>
      <c r="T36" s="80">
        <v>2.2233755918</v>
      </c>
    </row>
    <row r="37" spans="1:20" x14ac:dyDescent="0.2">
      <c r="A37" s="11">
        <v>36</v>
      </c>
      <c r="B37" s="11">
        <v>3</v>
      </c>
      <c r="C37" s="12" t="s">
        <v>68</v>
      </c>
      <c r="D37" s="13" t="s">
        <v>69</v>
      </c>
      <c r="E37" s="80">
        <v>1.7962275112999999</v>
      </c>
      <c r="F37" s="80">
        <v>4.1736662180000001</v>
      </c>
      <c r="G37" s="80">
        <v>4.4794261312000003</v>
      </c>
      <c r="H37" s="80">
        <v>5.9229482671999998</v>
      </c>
      <c r="I37" s="80">
        <v>4.9152339784999999</v>
      </c>
      <c r="J37" s="80">
        <v>4.2548371201000004</v>
      </c>
      <c r="K37" s="80">
        <v>3.0495469019999999</v>
      </c>
      <c r="L37" s="80">
        <v>7.1625505982000002</v>
      </c>
      <c r="M37" s="80">
        <v>5.8067022601999998</v>
      </c>
      <c r="N37" s="80">
        <v>7.4594417303</v>
      </c>
      <c r="O37" s="80">
        <v>1.6280335742000001</v>
      </c>
      <c r="P37" s="80">
        <v>4.4963724405000001</v>
      </c>
      <c r="Q37" s="80">
        <v>2.1931021202999998</v>
      </c>
      <c r="R37" s="80">
        <v>6.0707594761000001</v>
      </c>
      <c r="S37" s="80">
        <v>5.7339432154000001</v>
      </c>
      <c r="T37" s="80">
        <v>2.2223147080999999</v>
      </c>
    </row>
    <row r="38" spans="1:20" x14ac:dyDescent="0.2">
      <c r="A38" s="11">
        <v>37</v>
      </c>
      <c r="B38" s="11">
        <v>3</v>
      </c>
      <c r="C38" s="12" t="s">
        <v>70</v>
      </c>
      <c r="D38" s="13" t="s">
        <v>71</v>
      </c>
      <c r="E38" s="80">
        <v>4.6221195548000003</v>
      </c>
      <c r="F38" s="80">
        <v>3.2981898705999999</v>
      </c>
      <c r="G38" s="80">
        <v>1.7604538288</v>
      </c>
      <c r="H38" s="80">
        <v>2.5782554754999998</v>
      </c>
      <c r="I38" s="80">
        <v>1.2295130080000001</v>
      </c>
      <c r="J38" s="80">
        <v>2.5292304328999999</v>
      </c>
      <c r="K38" s="80">
        <v>2.9194010962000001</v>
      </c>
      <c r="L38" s="80">
        <v>4.6640160510999999</v>
      </c>
      <c r="M38" s="80">
        <v>2.9177940870999999</v>
      </c>
      <c r="N38" s="80">
        <v>4.4441685361000003</v>
      </c>
      <c r="O38" s="80">
        <v>5.1878195950999997</v>
      </c>
      <c r="P38" s="80">
        <v>4.4734226456000004</v>
      </c>
      <c r="Q38" s="80">
        <v>2.5615114936999999</v>
      </c>
      <c r="R38" s="80">
        <v>5.6913502487000001</v>
      </c>
      <c r="S38" s="80">
        <v>6.5546706903</v>
      </c>
      <c r="T38" s="80">
        <v>3.8809626658999998</v>
      </c>
    </row>
    <row r="39" spans="1:20" x14ac:dyDescent="0.2">
      <c r="A39" s="8">
        <v>38</v>
      </c>
      <c r="B39" s="8">
        <v>2</v>
      </c>
      <c r="C39" s="9" t="s">
        <v>72</v>
      </c>
      <c r="D39" s="10" t="s">
        <v>73</v>
      </c>
      <c r="E39" s="79">
        <v>18.336215643999999</v>
      </c>
      <c r="F39" s="79">
        <v>20.086600818000001</v>
      </c>
      <c r="G39" s="79">
        <v>30.172761265999998</v>
      </c>
      <c r="H39" s="79">
        <v>36.630681049000003</v>
      </c>
      <c r="I39" s="79">
        <v>32.258308239999998</v>
      </c>
      <c r="J39" s="79">
        <v>32.493506736999997</v>
      </c>
      <c r="K39" s="79">
        <v>45.304616375999998</v>
      </c>
      <c r="L39" s="79">
        <v>55.759039981000001</v>
      </c>
      <c r="M39" s="79">
        <v>41.821664693000002</v>
      </c>
      <c r="N39" s="79">
        <v>61.693114614999999</v>
      </c>
      <c r="O39" s="79">
        <v>49.883597293999998</v>
      </c>
      <c r="P39" s="79">
        <v>53.850270457999997</v>
      </c>
      <c r="Q39" s="79">
        <v>52.389228635000002</v>
      </c>
      <c r="R39" s="79">
        <v>56.455832493000003</v>
      </c>
      <c r="S39" s="79">
        <v>34.412799010000001</v>
      </c>
      <c r="T39" s="79">
        <v>47.761746975999998</v>
      </c>
    </row>
    <row r="40" spans="1:20" x14ac:dyDescent="0.2">
      <c r="A40" s="11">
        <v>39</v>
      </c>
      <c r="B40" s="11">
        <v>3</v>
      </c>
      <c r="C40" s="12" t="s">
        <v>74</v>
      </c>
      <c r="D40" s="13" t="s">
        <v>75</v>
      </c>
      <c r="E40" s="80">
        <v>9.4858282700000005E-2</v>
      </c>
      <c r="F40" s="80">
        <v>0.25127526909999998</v>
      </c>
      <c r="G40" s="80">
        <v>8.4644571700000004E-2</v>
      </c>
      <c r="H40" s="80">
        <v>7.8075232300000005E-2</v>
      </c>
      <c r="I40" s="80">
        <v>0.2100646894</v>
      </c>
      <c r="J40" s="80">
        <v>0.1903241886</v>
      </c>
      <c r="K40" s="80">
        <v>0.51524884530000004</v>
      </c>
      <c r="L40" s="80">
        <v>8.0386055299999995E-2</v>
      </c>
      <c r="M40" s="80">
        <v>8.1468243199999998E-2</v>
      </c>
      <c r="N40" s="80">
        <v>0.15967953609999999</v>
      </c>
      <c r="O40" s="80">
        <v>7.1253778000000004E-2</v>
      </c>
      <c r="P40" s="80">
        <v>0.34465518249999999</v>
      </c>
      <c r="Q40" s="80">
        <v>1.1878084031</v>
      </c>
      <c r="R40" s="80">
        <v>0.87631795970000004</v>
      </c>
      <c r="S40" s="80">
        <v>0.84673587859999999</v>
      </c>
      <c r="T40" s="80">
        <v>0.92362094549999996</v>
      </c>
    </row>
    <row r="41" spans="1:20" x14ac:dyDescent="0.2">
      <c r="A41" s="11">
        <v>40</v>
      </c>
      <c r="B41" s="11">
        <v>3</v>
      </c>
      <c r="C41" s="12" t="s">
        <v>76</v>
      </c>
      <c r="D41" s="13" t="s">
        <v>77</v>
      </c>
      <c r="E41" s="80">
        <v>13.308925909999999</v>
      </c>
      <c r="F41" s="80">
        <v>13.305162564</v>
      </c>
      <c r="G41" s="80">
        <v>16.940090155</v>
      </c>
      <c r="H41" s="80">
        <v>28.017095406999999</v>
      </c>
      <c r="I41" s="80">
        <v>24.027082500999999</v>
      </c>
      <c r="J41" s="80">
        <v>19.431977764999999</v>
      </c>
      <c r="K41" s="80">
        <v>19.965648461000001</v>
      </c>
      <c r="L41" s="80">
        <v>22.992347086999999</v>
      </c>
      <c r="M41" s="80">
        <v>20.101357587999999</v>
      </c>
      <c r="N41" s="80">
        <v>31.307037207</v>
      </c>
      <c r="O41" s="80">
        <v>30.793638253000001</v>
      </c>
      <c r="P41" s="80">
        <v>32.753209849999998</v>
      </c>
      <c r="Q41" s="80">
        <v>26.550289127999999</v>
      </c>
      <c r="R41" s="80">
        <v>16.474346143000002</v>
      </c>
      <c r="S41" s="80">
        <v>10.348170394</v>
      </c>
      <c r="T41" s="80">
        <v>20.062779592999998</v>
      </c>
    </row>
    <row r="42" spans="1:20" x14ac:dyDescent="0.2">
      <c r="A42" s="11">
        <v>41</v>
      </c>
      <c r="B42" s="11">
        <v>3</v>
      </c>
      <c r="C42" s="12" t="s">
        <v>78</v>
      </c>
      <c r="D42" s="13" t="s">
        <v>79</v>
      </c>
      <c r="E42" s="80">
        <v>5.0956919813999999</v>
      </c>
      <c r="F42" s="80">
        <v>6.7783354165</v>
      </c>
      <c r="G42" s="80">
        <v>13.732804857</v>
      </c>
      <c r="H42" s="80">
        <v>9.4756297834000005</v>
      </c>
      <c r="I42" s="80">
        <v>8.6644367307000003</v>
      </c>
      <c r="J42" s="80">
        <v>13.384335479000001</v>
      </c>
      <c r="K42" s="80">
        <v>25.425189186000001</v>
      </c>
      <c r="L42" s="80">
        <v>34.088113483999997</v>
      </c>
      <c r="M42" s="80">
        <v>22.701962855000001</v>
      </c>
      <c r="N42" s="80">
        <v>31.783175221</v>
      </c>
      <c r="O42" s="80">
        <v>20.014164614999999</v>
      </c>
      <c r="P42" s="80">
        <v>21.429566975</v>
      </c>
      <c r="Q42" s="80">
        <v>24.475681910999999</v>
      </c>
      <c r="R42" s="80">
        <v>38.196056048999999</v>
      </c>
      <c r="S42" s="80">
        <v>22.279186040999999</v>
      </c>
      <c r="T42" s="80">
        <v>25.792004500000001</v>
      </c>
    </row>
    <row r="43" spans="1:20" x14ac:dyDescent="0.2">
      <c r="A43" s="8">
        <v>42</v>
      </c>
      <c r="B43" s="8">
        <v>2</v>
      </c>
      <c r="C43" s="9" t="s">
        <v>80</v>
      </c>
      <c r="D43" s="10" t="s">
        <v>81</v>
      </c>
      <c r="E43" s="79">
        <v>14.940283513000001</v>
      </c>
      <c r="F43" s="79">
        <v>15.419959799000001</v>
      </c>
      <c r="G43" s="79">
        <v>18.012147013</v>
      </c>
      <c r="H43" s="79">
        <v>21.600712283</v>
      </c>
      <c r="I43" s="79">
        <v>16.153712201000001</v>
      </c>
      <c r="J43" s="79">
        <v>23.592686676</v>
      </c>
      <c r="K43" s="79">
        <v>20.496469846</v>
      </c>
      <c r="L43" s="79">
        <v>36.403482748000002</v>
      </c>
      <c r="M43" s="79">
        <v>52.649037288000002</v>
      </c>
      <c r="N43" s="79">
        <v>26.677087613000001</v>
      </c>
      <c r="O43" s="79">
        <v>25.855252868000001</v>
      </c>
      <c r="P43" s="79">
        <v>22.793642604999999</v>
      </c>
      <c r="Q43" s="79">
        <v>9.8443327742999998</v>
      </c>
      <c r="R43" s="79">
        <v>2.4470113625000001</v>
      </c>
      <c r="S43" s="79">
        <v>0.83247180629999995</v>
      </c>
      <c r="T43" s="79">
        <v>0.19416637349999999</v>
      </c>
    </row>
    <row r="44" spans="1:20" x14ac:dyDescent="0.2">
      <c r="A44" s="11">
        <v>43</v>
      </c>
      <c r="B44" s="11">
        <v>3</v>
      </c>
      <c r="C44" s="12" t="s">
        <v>82</v>
      </c>
      <c r="D44" s="13" t="s">
        <v>81</v>
      </c>
      <c r="E44" s="80">
        <v>14.940283513000001</v>
      </c>
      <c r="F44" s="80">
        <v>15.419959799000001</v>
      </c>
      <c r="G44" s="80">
        <v>18.012147013</v>
      </c>
      <c r="H44" s="80">
        <v>21.600712283</v>
      </c>
      <c r="I44" s="80">
        <v>16.153712201000001</v>
      </c>
      <c r="J44" s="80">
        <v>23.592686676</v>
      </c>
      <c r="K44" s="80">
        <v>20.496469846</v>
      </c>
      <c r="L44" s="80">
        <v>36.403482748000002</v>
      </c>
      <c r="M44" s="80">
        <v>52.649037288000002</v>
      </c>
      <c r="N44" s="80">
        <v>26.677087613000001</v>
      </c>
      <c r="O44" s="80">
        <v>25.855252868000001</v>
      </c>
      <c r="P44" s="80">
        <v>22.793642604999999</v>
      </c>
      <c r="Q44" s="80">
        <v>9.8443327742999998</v>
      </c>
      <c r="R44" s="80">
        <v>2.4470113625000001</v>
      </c>
      <c r="S44" s="80">
        <v>0.83247180629999995</v>
      </c>
      <c r="T44" s="80">
        <v>0.19416637349999999</v>
      </c>
    </row>
    <row r="45" spans="1:20" ht="15" x14ac:dyDescent="0.25">
      <c r="A45" s="4">
        <v>44</v>
      </c>
      <c r="B45" s="4">
        <v>1</v>
      </c>
      <c r="C45" s="5" t="s">
        <v>83</v>
      </c>
      <c r="D45" s="6" t="s">
        <v>84</v>
      </c>
      <c r="E45" s="78">
        <v>1024.1878953</v>
      </c>
      <c r="F45" s="78">
        <v>1010.1329219</v>
      </c>
      <c r="G45" s="78">
        <v>1030.0771691</v>
      </c>
      <c r="H45" s="78">
        <v>1062.8462204</v>
      </c>
      <c r="I45" s="78">
        <v>994.08433630000002</v>
      </c>
      <c r="J45" s="78">
        <v>969.41887340000005</v>
      </c>
      <c r="K45" s="78">
        <v>958.2462544</v>
      </c>
      <c r="L45" s="78">
        <v>943.97607200000004</v>
      </c>
      <c r="M45" s="78">
        <v>918.15262710000002</v>
      </c>
      <c r="N45" s="78">
        <v>919.13168370000005</v>
      </c>
      <c r="O45" s="78">
        <v>914.10293249999995</v>
      </c>
      <c r="P45" s="78">
        <v>889.03856789999998</v>
      </c>
      <c r="Q45" s="78">
        <v>886.71114590000002</v>
      </c>
      <c r="R45" s="78">
        <v>947.67963610000004</v>
      </c>
      <c r="S45" s="78">
        <v>898.03743580000003</v>
      </c>
      <c r="T45" s="78">
        <v>852.76005250000003</v>
      </c>
    </row>
    <row r="46" spans="1:20" x14ac:dyDescent="0.2">
      <c r="A46" s="8">
        <v>45</v>
      </c>
      <c r="B46" s="8">
        <v>2</v>
      </c>
      <c r="C46" s="9" t="s">
        <v>85</v>
      </c>
      <c r="D46" s="10" t="s">
        <v>86</v>
      </c>
      <c r="E46" s="79">
        <v>181.95323880999999</v>
      </c>
      <c r="F46" s="79">
        <v>172.61168308000001</v>
      </c>
      <c r="G46" s="79">
        <v>197.09454129</v>
      </c>
      <c r="H46" s="79">
        <v>203.94361585999999</v>
      </c>
      <c r="I46" s="79">
        <v>183.94715004</v>
      </c>
      <c r="J46" s="79">
        <v>189.20358117000001</v>
      </c>
      <c r="K46" s="79">
        <v>186.93230323</v>
      </c>
      <c r="L46" s="79">
        <v>189.63621988</v>
      </c>
      <c r="M46" s="79">
        <v>182.75623023</v>
      </c>
      <c r="N46" s="79">
        <v>192.46350218000001</v>
      </c>
      <c r="O46" s="79">
        <v>209.88592839</v>
      </c>
      <c r="P46" s="79">
        <v>195.34963823999999</v>
      </c>
      <c r="Q46" s="79">
        <v>198.77918554999999</v>
      </c>
      <c r="R46" s="79">
        <v>222.27733674999999</v>
      </c>
      <c r="S46" s="79">
        <v>206.84329807</v>
      </c>
      <c r="T46" s="79">
        <v>180.36622998000001</v>
      </c>
    </row>
    <row r="47" spans="1:20" x14ac:dyDescent="0.2">
      <c r="A47" s="11">
        <v>46</v>
      </c>
      <c r="B47" s="11">
        <v>3</v>
      </c>
      <c r="C47" s="12" t="s">
        <v>87</v>
      </c>
      <c r="D47" s="13" t="s">
        <v>88</v>
      </c>
      <c r="E47" s="80">
        <v>17.609505746</v>
      </c>
      <c r="F47" s="80">
        <v>11.523538748</v>
      </c>
      <c r="G47" s="80">
        <v>17.508324111</v>
      </c>
      <c r="H47" s="80">
        <v>19.761200005999999</v>
      </c>
      <c r="I47" s="80">
        <v>15.543103093999999</v>
      </c>
      <c r="J47" s="80">
        <v>19.394037175000001</v>
      </c>
      <c r="K47" s="80">
        <v>18.359593917000002</v>
      </c>
      <c r="L47" s="80">
        <v>25.024127196999999</v>
      </c>
      <c r="M47" s="80">
        <v>30.818175535000002</v>
      </c>
      <c r="N47" s="80">
        <v>23.666726929999999</v>
      </c>
      <c r="O47" s="80">
        <v>39.845117102000003</v>
      </c>
      <c r="P47" s="80">
        <v>23.435307857000002</v>
      </c>
      <c r="Q47" s="80">
        <v>22.358629194999999</v>
      </c>
      <c r="R47" s="80">
        <v>12.360413103999999</v>
      </c>
      <c r="S47" s="80">
        <v>11.459852712</v>
      </c>
      <c r="T47" s="80">
        <v>20.988321889000002</v>
      </c>
    </row>
    <row r="48" spans="1:20" x14ac:dyDescent="0.2">
      <c r="A48" s="11">
        <v>47</v>
      </c>
      <c r="B48" s="11">
        <v>3</v>
      </c>
      <c r="C48" s="12" t="s">
        <v>89</v>
      </c>
      <c r="D48" s="13" t="s">
        <v>90</v>
      </c>
      <c r="E48" s="80">
        <v>43.279877466999999</v>
      </c>
      <c r="F48" s="80">
        <v>49.271266664000002</v>
      </c>
      <c r="G48" s="80">
        <v>53.896490866000001</v>
      </c>
      <c r="H48" s="80">
        <v>49.553786807999998</v>
      </c>
      <c r="I48" s="80">
        <v>55.218387401000001</v>
      </c>
      <c r="J48" s="80">
        <v>44.706704512999998</v>
      </c>
      <c r="K48" s="80">
        <v>50.661395116999998</v>
      </c>
      <c r="L48" s="80">
        <v>48.281497880000003</v>
      </c>
      <c r="M48" s="80">
        <v>45.017409608999998</v>
      </c>
      <c r="N48" s="80">
        <v>44.660652888000001</v>
      </c>
      <c r="O48" s="80">
        <v>57.701520234999997</v>
      </c>
      <c r="P48" s="80">
        <v>52.738749251999998</v>
      </c>
      <c r="Q48" s="80">
        <v>60.093475192</v>
      </c>
      <c r="R48" s="80">
        <v>58.733413446999997</v>
      </c>
      <c r="S48" s="80">
        <v>60.539189763000003</v>
      </c>
      <c r="T48" s="80">
        <v>58.682516646000003</v>
      </c>
    </row>
    <row r="49" spans="1:20" x14ac:dyDescent="0.2">
      <c r="A49" s="11">
        <v>48</v>
      </c>
      <c r="B49" s="11">
        <v>3</v>
      </c>
      <c r="C49" s="12" t="s">
        <v>91</v>
      </c>
      <c r="D49" s="13" t="s">
        <v>92</v>
      </c>
      <c r="E49" s="80">
        <v>3.0344453500999999</v>
      </c>
      <c r="F49" s="80">
        <v>2.1193441850000001</v>
      </c>
      <c r="G49" s="80">
        <v>2.2692619166000001</v>
      </c>
      <c r="H49" s="80">
        <v>3.2381185016999998</v>
      </c>
      <c r="I49" s="80">
        <v>0.92715484820000005</v>
      </c>
      <c r="J49" s="80">
        <v>4.0855905403000001</v>
      </c>
      <c r="K49" s="80">
        <v>1.4081627325999999</v>
      </c>
      <c r="L49" s="80">
        <v>1.1517781534</v>
      </c>
      <c r="M49" s="80">
        <v>1.7914575902000001</v>
      </c>
      <c r="N49" s="80">
        <v>1.2588790620000001</v>
      </c>
      <c r="O49" s="80">
        <v>3.3010404618</v>
      </c>
      <c r="P49" s="80">
        <v>2.8835529210000002</v>
      </c>
      <c r="Q49" s="80">
        <v>3.5893184643999998</v>
      </c>
      <c r="R49" s="80">
        <v>4.1626075043000004</v>
      </c>
      <c r="S49" s="80">
        <v>1.4450624001000001</v>
      </c>
      <c r="T49" s="80">
        <v>2.3526983204</v>
      </c>
    </row>
    <row r="50" spans="1:20" x14ac:dyDescent="0.2">
      <c r="A50" s="11">
        <v>49</v>
      </c>
      <c r="B50" s="11">
        <v>3</v>
      </c>
      <c r="C50" s="12" t="s">
        <v>93</v>
      </c>
      <c r="D50" s="13" t="s">
        <v>94</v>
      </c>
      <c r="E50" s="80">
        <v>16.012341206999999</v>
      </c>
      <c r="F50" s="80">
        <v>12.979863401999999</v>
      </c>
      <c r="G50" s="80">
        <v>18.878168906999999</v>
      </c>
      <c r="H50" s="80">
        <v>17.718290440000001</v>
      </c>
      <c r="I50" s="80">
        <v>16.946157324000001</v>
      </c>
      <c r="J50" s="80">
        <v>17.325443607</v>
      </c>
      <c r="K50" s="80">
        <v>19.492062852</v>
      </c>
      <c r="L50" s="80">
        <v>14.658864489000001</v>
      </c>
      <c r="M50" s="80">
        <v>17.19753248</v>
      </c>
      <c r="N50" s="80">
        <v>15.029705100999999</v>
      </c>
      <c r="O50" s="80">
        <v>12.731168254</v>
      </c>
      <c r="P50" s="80">
        <v>13.975318821</v>
      </c>
      <c r="Q50" s="80">
        <v>18.358186909</v>
      </c>
      <c r="R50" s="80">
        <v>21.065794060000002</v>
      </c>
      <c r="S50" s="80">
        <v>21.196839535999999</v>
      </c>
      <c r="T50" s="80">
        <v>20.046913786000001</v>
      </c>
    </row>
    <row r="51" spans="1:20" x14ac:dyDescent="0.2">
      <c r="A51" s="11">
        <v>50</v>
      </c>
      <c r="B51" s="11">
        <v>3</v>
      </c>
      <c r="C51" s="12" t="s">
        <v>95</v>
      </c>
      <c r="D51" s="13" t="s">
        <v>96</v>
      </c>
      <c r="E51" s="80">
        <v>7.0856034538000001</v>
      </c>
      <c r="F51" s="80">
        <v>11.511287936</v>
      </c>
      <c r="G51" s="80">
        <v>9.2338728797999998</v>
      </c>
      <c r="H51" s="80">
        <v>8.9935525204999998</v>
      </c>
      <c r="I51" s="80">
        <v>7.0783710184000004</v>
      </c>
      <c r="J51" s="80">
        <v>10.193018063</v>
      </c>
      <c r="K51" s="80">
        <v>6.5941791162000003</v>
      </c>
      <c r="L51" s="80">
        <v>9.2689719412000002</v>
      </c>
      <c r="M51" s="80">
        <v>4.8763134037000002</v>
      </c>
      <c r="N51" s="80">
        <v>3.3803804485</v>
      </c>
      <c r="O51" s="80">
        <v>3.9659491479</v>
      </c>
      <c r="P51" s="80">
        <v>11.122143217</v>
      </c>
      <c r="Q51" s="80">
        <v>5.1284754500999998</v>
      </c>
      <c r="R51" s="80">
        <v>10.834551201</v>
      </c>
      <c r="S51" s="80">
        <v>9.7265113663000005</v>
      </c>
      <c r="T51" s="80">
        <v>5.2654920954</v>
      </c>
    </row>
    <row r="52" spans="1:20" x14ac:dyDescent="0.2">
      <c r="A52" s="11">
        <v>51</v>
      </c>
      <c r="B52" s="11">
        <v>3</v>
      </c>
      <c r="C52" s="12" t="s">
        <v>97</v>
      </c>
      <c r="D52" s="13" t="s">
        <v>98</v>
      </c>
      <c r="E52" s="80">
        <v>0.69293933770000005</v>
      </c>
      <c r="F52" s="80">
        <v>2.7581504367999998</v>
      </c>
      <c r="G52" s="80">
        <v>2.3075983911</v>
      </c>
      <c r="H52" s="80">
        <v>1.1233900692000001</v>
      </c>
      <c r="I52" s="80">
        <v>1.8983406268</v>
      </c>
      <c r="J52" s="80">
        <v>1.7147473120000001</v>
      </c>
      <c r="K52" s="80">
        <v>1.1062618622</v>
      </c>
      <c r="L52" s="80">
        <v>0.76619866459999997</v>
      </c>
      <c r="M52" s="80">
        <v>1.1969745111000001</v>
      </c>
      <c r="N52" s="80">
        <v>2.1446889861999998</v>
      </c>
      <c r="O52" s="80">
        <v>1.4785578317000001</v>
      </c>
      <c r="P52" s="80">
        <v>2.5378723065000002</v>
      </c>
      <c r="Q52" s="80">
        <v>0.38519849890000002</v>
      </c>
      <c r="R52" s="80">
        <v>1.7732468700999999</v>
      </c>
      <c r="S52" s="80">
        <v>0.83046447430000003</v>
      </c>
      <c r="T52" s="80">
        <v>1.0008779823</v>
      </c>
    </row>
    <row r="53" spans="1:20" x14ac:dyDescent="0.2">
      <c r="A53" s="11">
        <v>52</v>
      </c>
      <c r="B53" s="11">
        <v>3</v>
      </c>
      <c r="C53" s="12" t="s">
        <v>99</v>
      </c>
      <c r="D53" s="13" t="s">
        <v>100</v>
      </c>
      <c r="E53" s="80">
        <v>5.7705721100999998</v>
      </c>
      <c r="F53" s="80">
        <v>7.3754256672</v>
      </c>
      <c r="G53" s="80">
        <v>5.6111995076000003</v>
      </c>
      <c r="H53" s="80">
        <v>8.5615775252000006</v>
      </c>
      <c r="I53" s="80">
        <v>4.0667474146</v>
      </c>
      <c r="J53" s="80">
        <v>5.8828590039000002</v>
      </c>
      <c r="K53" s="80">
        <v>4.2438404645999999</v>
      </c>
      <c r="L53" s="80">
        <v>5.9794604064000003</v>
      </c>
      <c r="M53" s="80">
        <v>5.7839583183999999</v>
      </c>
      <c r="N53" s="80">
        <v>2.7144852571000002</v>
      </c>
      <c r="O53" s="80">
        <v>3.1691345675</v>
      </c>
      <c r="P53" s="80">
        <v>3.7077319226999998</v>
      </c>
      <c r="Q53" s="80">
        <v>6.4617894306999997</v>
      </c>
      <c r="R53" s="80">
        <v>8.7607306397000002</v>
      </c>
      <c r="S53" s="80">
        <v>3.8332662451999999</v>
      </c>
      <c r="T53" s="80">
        <v>6.0117047961000001</v>
      </c>
    </row>
    <row r="54" spans="1:20" x14ac:dyDescent="0.2">
      <c r="A54" s="11">
        <v>53</v>
      </c>
      <c r="B54" s="11">
        <v>3</v>
      </c>
      <c r="C54" s="12" t="s">
        <v>101</v>
      </c>
      <c r="D54" s="13" t="s">
        <v>102</v>
      </c>
      <c r="E54" s="80">
        <v>61.884353433000001</v>
      </c>
      <c r="F54" s="80">
        <v>57.213662886000002</v>
      </c>
      <c r="G54" s="80">
        <v>62.564222280999999</v>
      </c>
      <c r="H54" s="80">
        <v>66.541499861999995</v>
      </c>
      <c r="I54" s="80">
        <v>53.008740910999997</v>
      </c>
      <c r="J54" s="80">
        <v>60.503885482000001</v>
      </c>
      <c r="K54" s="80">
        <v>58.171324140000003</v>
      </c>
      <c r="L54" s="80">
        <v>63.316874034000001</v>
      </c>
      <c r="M54" s="80">
        <v>50.901834458000003</v>
      </c>
      <c r="N54" s="80">
        <v>67.425255422999996</v>
      </c>
      <c r="O54" s="80">
        <v>59.781404555999998</v>
      </c>
      <c r="P54" s="80">
        <v>58.129301914000003</v>
      </c>
      <c r="Q54" s="80">
        <v>55.308697279</v>
      </c>
      <c r="R54" s="80">
        <v>69.040188216999994</v>
      </c>
      <c r="S54" s="80">
        <v>57.952539975999997</v>
      </c>
      <c r="T54" s="80">
        <v>40.750630401000002</v>
      </c>
    </row>
    <row r="55" spans="1:20" x14ac:dyDescent="0.2">
      <c r="A55" s="11">
        <v>54</v>
      </c>
      <c r="B55" s="11">
        <v>3</v>
      </c>
      <c r="C55" s="12" t="s">
        <v>103</v>
      </c>
      <c r="D55" s="13" t="s">
        <v>104</v>
      </c>
      <c r="E55" s="80">
        <v>13.184782644</v>
      </c>
      <c r="F55" s="80">
        <v>9.0743515204000005</v>
      </c>
      <c r="G55" s="80">
        <v>11.598035165000001</v>
      </c>
      <c r="H55" s="80">
        <v>15.821232346</v>
      </c>
      <c r="I55" s="80">
        <v>13.630670346</v>
      </c>
      <c r="J55" s="80">
        <v>12.907575869</v>
      </c>
      <c r="K55" s="80">
        <v>14.243860881</v>
      </c>
      <c r="L55" s="80">
        <v>10.884096714</v>
      </c>
      <c r="M55" s="80">
        <v>11.045975787</v>
      </c>
      <c r="N55" s="80">
        <v>17.448119282</v>
      </c>
      <c r="O55" s="80">
        <v>11.813722328000001</v>
      </c>
      <c r="P55" s="80">
        <v>10.425359681</v>
      </c>
      <c r="Q55" s="80">
        <v>12.373731040999999</v>
      </c>
      <c r="R55" s="80">
        <v>18.127513516</v>
      </c>
      <c r="S55" s="80">
        <v>14.710989040999999</v>
      </c>
      <c r="T55" s="80">
        <v>12.004947536</v>
      </c>
    </row>
    <row r="56" spans="1:20" x14ac:dyDescent="0.2">
      <c r="A56" s="11">
        <v>55</v>
      </c>
      <c r="B56" s="11">
        <v>3</v>
      </c>
      <c r="C56" s="12" t="s">
        <v>105</v>
      </c>
      <c r="D56" s="13" t="s">
        <v>106</v>
      </c>
      <c r="E56" s="80">
        <v>12.286220365</v>
      </c>
      <c r="F56" s="80">
        <v>8.6476394289999998</v>
      </c>
      <c r="G56" s="80">
        <v>12.60673959</v>
      </c>
      <c r="H56" s="80">
        <v>11.983789678999999</v>
      </c>
      <c r="I56" s="80">
        <v>14.985907673</v>
      </c>
      <c r="J56" s="80">
        <v>11.547138796</v>
      </c>
      <c r="K56" s="80">
        <v>11.649176609</v>
      </c>
      <c r="L56" s="80">
        <v>9.0646257827000003</v>
      </c>
      <c r="M56" s="80">
        <v>13.377904286</v>
      </c>
      <c r="N56" s="80">
        <v>12.786246057</v>
      </c>
      <c r="O56" s="80">
        <v>14.852596739999999</v>
      </c>
      <c r="P56" s="80">
        <v>16.145031173</v>
      </c>
      <c r="Q56" s="80">
        <v>14.323967688</v>
      </c>
      <c r="R56" s="80">
        <v>18.220593809</v>
      </c>
      <c r="S56" s="80">
        <v>26.842077926999998</v>
      </c>
      <c r="T56" s="80">
        <v>15.721829704999999</v>
      </c>
    </row>
    <row r="57" spans="1:20" x14ac:dyDescent="0.2">
      <c r="A57" s="8">
        <v>56</v>
      </c>
      <c r="B57" s="8">
        <v>2</v>
      </c>
      <c r="C57" s="9" t="s">
        <v>107</v>
      </c>
      <c r="D57" s="10" t="s">
        <v>108</v>
      </c>
      <c r="E57" s="79">
        <v>35.092696641000003</v>
      </c>
      <c r="F57" s="79">
        <v>25.937505658999999</v>
      </c>
      <c r="G57" s="79">
        <v>28.095739022</v>
      </c>
      <c r="H57" s="79">
        <v>30.695612713999999</v>
      </c>
      <c r="I57" s="79">
        <v>28.638516540000001</v>
      </c>
      <c r="J57" s="79">
        <v>27.071941173999999</v>
      </c>
      <c r="K57" s="79">
        <v>29.551476787999999</v>
      </c>
      <c r="L57" s="79">
        <v>29.195085939999998</v>
      </c>
      <c r="M57" s="79">
        <v>31.517228489000001</v>
      </c>
      <c r="N57" s="79">
        <v>29.340712866000001</v>
      </c>
      <c r="O57" s="79">
        <v>33.054508818000002</v>
      </c>
      <c r="P57" s="79">
        <v>31.347805733000001</v>
      </c>
      <c r="Q57" s="79">
        <v>29.836129831000001</v>
      </c>
      <c r="R57" s="79">
        <v>33.428860784999998</v>
      </c>
      <c r="S57" s="79">
        <v>30.285851610999998</v>
      </c>
      <c r="T57" s="79">
        <v>31.799689122</v>
      </c>
    </row>
    <row r="58" spans="1:20" s="16" customFormat="1" x14ac:dyDescent="0.2">
      <c r="A58" s="14">
        <v>57</v>
      </c>
      <c r="B58" s="14">
        <v>3</v>
      </c>
      <c r="C58" s="14" t="s">
        <v>109</v>
      </c>
      <c r="D58" s="15" t="s">
        <v>110</v>
      </c>
      <c r="E58" s="81">
        <v>9.8540260899999996E-2</v>
      </c>
      <c r="F58" s="81">
        <v>9.84060405E-2</v>
      </c>
      <c r="G58" s="81">
        <v>9.7919123900000002E-2</v>
      </c>
      <c r="H58" s="81">
        <v>9.6839069999999999E-2</v>
      </c>
      <c r="I58" s="81">
        <v>9.6842672099999999E-2</v>
      </c>
      <c r="J58" s="81">
        <v>9.7243216699999996E-2</v>
      </c>
      <c r="K58" s="81">
        <v>0.34615233960000003</v>
      </c>
      <c r="L58" s="81">
        <v>0.1009455709</v>
      </c>
      <c r="M58" s="81">
        <v>0.1036587972</v>
      </c>
      <c r="N58" s="81">
        <v>0.1054109234</v>
      </c>
      <c r="O58" s="81">
        <v>0.1067213189</v>
      </c>
      <c r="P58" s="81">
        <v>0.50336227349999996</v>
      </c>
      <c r="Q58" s="81">
        <v>0.10964305320000001</v>
      </c>
      <c r="R58" s="81">
        <v>0.111629991</v>
      </c>
      <c r="S58" s="81">
        <v>0.1136016371</v>
      </c>
      <c r="T58" s="81">
        <v>0.1158518811</v>
      </c>
    </row>
    <row r="59" spans="1:20" x14ac:dyDescent="0.2">
      <c r="A59" s="11">
        <v>58</v>
      </c>
      <c r="B59" s="11">
        <v>3</v>
      </c>
      <c r="C59" s="12" t="s">
        <v>111</v>
      </c>
      <c r="D59" s="13" t="s">
        <v>112</v>
      </c>
      <c r="E59" s="80">
        <v>33.136003195999997</v>
      </c>
      <c r="F59" s="80">
        <v>24.204493739</v>
      </c>
      <c r="G59" s="80">
        <v>25.846540518000001</v>
      </c>
      <c r="H59" s="80">
        <v>29.986526737999998</v>
      </c>
      <c r="I59" s="80">
        <v>25.937417421999999</v>
      </c>
      <c r="J59" s="80">
        <v>25.813451938</v>
      </c>
      <c r="K59" s="80">
        <v>27.589187404</v>
      </c>
      <c r="L59" s="80">
        <v>28.319595604</v>
      </c>
      <c r="M59" s="80">
        <v>28.541748433999999</v>
      </c>
      <c r="N59" s="80">
        <v>28.037733040999999</v>
      </c>
      <c r="O59" s="80">
        <v>31.606432384000001</v>
      </c>
      <c r="P59" s="80">
        <v>30.040873371</v>
      </c>
      <c r="Q59" s="80">
        <v>30.022323938</v>
      </c>
      <c r="R59" s="80">
        <v>33.797813607000002</v>
      </c>
      <c r="S59" s="80">
        <v>30.416435792000001</v>
      </c>
      <c r="T59" s="80">
        <v>31.62260917</v>
      </c>
    </row>
    <row r="60" spans="1:20" x14ac:dyDescent="0.2">
      <c r="A60" s="11">
        <v>59</v>
      </c>
      <c r="B60" s="11">
        <v>3</v>
      </c>
      <c r="C60" s="12" t="s">
        <v>113</v>
      </c>
      <c r="D60" s="13" t="s">
        <v>114</v>
      </c>
      <c r="E60" s="80">
        <v>2.1378762836999998</v>
      </c>
      <c r="F60" s="80">
        <v>1.8109613142000001</v>
      </c>
      <c r="G60" s="80">
        <v>2.2053551415000001</v>
      </c>
      <c r="H60" s="80">
        <v>0.8998431778</v>
      </c>
      <c r="I60" s="80">
        <v>2.5029099493000002</v>
      </c>
      <c r="J60" s="80">
        <v>1.2220620731</v>
      </c>
      <c r="K60" s="80">
        <v>1.4928675772</v>
      </c>
      <c r="L60" s="80">
        <v>0.5086812879</v>
      </c>
      <c r="M60" s="80">
        <v>2.4490037433</v>
      </c>
      <c r="N60" s="80">
        <v>0.85961338249999997</v>
      </c>
      <c r="O60" s="80">
        <v>1.1033403023999999</v>
      </c>
      <c r="P60" s="80">
        <v>0.70596372340000002</v>
      </c>
      <c r="Q60" s="80">
        <v>8.4398739400000006E-2</v>
      </c>
      <c r="R60" s="80">
        <v>8.9387145500000001E-2</v>
      </c>
      <c r="S60" s="80">
        <v>9.85458736E-2</v>
      </c>
      <c r="T60" s="80">
        <v>0.1082172285</v>
      </c>
    </row>
    <row r="61" spans="1:20" x14ac:dyDescent="0.2">
      <c r="A61" s="8">
        <v>60</v>
      </c>
      <c r="B61" s="8">
        <v>2</v>
      </c>
      <c r="C61" s="9" t="s">
        <v>115</v>
      </c>
      <c r="D61" s="10" t="s">
        <v>116</v>
      </c>
      <c r="E61" s="79">
        <v>53.240416490000001</v>
      </c>
      <c r="F61" s="79">
        <v>54.813632779999999</v>
      </c>
      <c r="G61" s="79">
        <v>55.449009672000003</v>
      </c>
      <c r="H61" s="79">
        <v>39.455421264000002</v>
      </c>
      <c r="I61" s="79">
        <v>49.484844168999999</v>
      </c>
      <c r="J61" s="79">
        <v>47.385533729000002</v>
      </c>
      <c r="K61" s="79">
        <v>42.888758873</v>
      </c>
      <c r="L61" s="79">
        <v>41.508672222000001</v>
      </c>
      <c r="M61" s="79">
        <v>40.54528638</v>
      </c>
      <c r="N61" s="79">
        <v>30.333060779</v>
      </c>
      <c r="O61" s="79">
        <v>35.374595866999996</v>
      </c>
      <c r="P61" s="79">
        <v>36.098649913999999</v>
      </c>
      <c r="Q61" s="79">
        <v>33.219064052</v>
      </c>
      <c r="R61" s="79">
        <v>40.687902131000001</v>
      </c>
      <c r="S61" s="79">
        <v>29.978797126</v>
      </c>
      <c r="T61" s="79">
        <v>31.511923941999999</v>
      </c>
    </row>
    <row r="62" spans="1:20" x14ac:dyDescent="0.2">
      <c r="A62" s="11">
        <v>61</v>
      </c>
      <c r="B62" s="11">
        <v>3</v>
      </c>
      <c r="C62" s="12" t="s">
        <v>117</v>
      </c>
      <c r="D62" s="13" t="s">
        <v>118</v>
      </c>
      <c r="E62" s="80">
        <v>3.2165644791000001</v>
      </c>
      <c r="F62" s="80">
        <v>5.4985541914000002</v>
      </c>
      <c r="G62" s="80">
        <v>3.6968893826999998</v>
      </c>
      <c r="H62" s="80">
        <v>1.8937052590000001</v>
      </c>
      <c r="I62" s="80">
        <v>0.70931857629999995</v>
      </c>
      <c r="J62" s="80">
        <v>1.8467764925000001</v>
      </c>
      <c r="K62" s="80">
        <v>5.29298058E-2</v>
      </c>
      <c r="L62" s="80">
        <v>1.0173387149999999</v>
      </c>
      <c r="M62" s="80">
        <v>1.7612639203</v>
      </c>
      <c r="N62" s="80">
        <v>1.1267611041000001</v>
      </c>
      <c r="O62" s="80">
        <v>6.88466363E-2</v>
      </c>
      <c r="P62" s="80">
        <v>2.8213776784000002</v>
      </c>
      <c r="Q62" s="80">
        <v>7.4905530999999997E-2</v>
      </c>
      <c r="R62" s="80">
        <v>8.3348183199999995E-2</v>
      </c>
      <c r="S62" s="80">
        <v>9.1384439499999998E-2</v>
      </c>
      <c r="T62" s="80">
        <v>0.1005030809</v>
      </c>
    </row>
    <row r="63" spans="1:20" x14ac:dyDescent="0.2">
      <c r="A63" s="11">
        <v>62</v>
      </c>
      <c r="B63" s="11">
        <v>3</v>
      </c>
      <c r="C63" s="12" t="s">
        <v>119</v>
      </c>
      <c r="D63" s="13" t="s">
        <v>120</v>
      </c>
      <c r="E63" s="80">
        <v>1.4957413495</v>
      </c>
      <c r="F63" s="80">
        <v>3.8096224672000001</v>
      </c>
      <c r="G63" s="80">
        <v>1.8108030047999999</v>
      </c>
      <c r="H63" s="80">
        <v>0.30887798599999999</v>
      </c>
      <c r="I63" s="80">
        <v>4.0001597981000003</v>
      </c>
      <c r="J63" s="80">
        <v>2.9456161750000001</v>
      </c>
      <c r="K63" s="80">
        <v>2.0011463644999998</v>
      </c>
      <c r="L63" s="80">
        <v>0.80086629970000001</v>
      </c>
      <c r="M63" s="80">
        <v>2.5048295326000001</v>
      </c>
      <c r="N63" s="80">
        <v>2.3309563957999999</v>
      </c>
      <c r="O63" s="80">
        <v>1.4089131931000001</v>
      </c>
      <c r="P63" s="80">
        <v>0.71156133269999999</v>
      </c>
      <c r="Q63" s="80">
        <v>0.1163285466</v>
      </c>
      <c r="R63" s="80">
        <v>4.5861424647</v>
      </c>
      <c r="S63" s="80">
        <v>0.79394839829999997</v>
      </c>
      <c r="T63" s="80">
        <v>1.5833536581000001</v>
      </c>
    </row>
    <row r="64" spans="1:20" x14ac:dyDescent="0.2">
      <c r="A64" s="11">
        <v>63</v>
      </c>
      <c r="B64" s="11">
        <v>3</v>
      </c>
      <c r="C64" s="12" t="s">
        <v>121</v>
      </c>
      <c r="D64" s="13" t="s">
        <v>122</v>
      </c>
      <c r="E64" s="80">
        <v>1.5844209444999999</v>
      </c>
      <c r="F64" s="80">
        <v>1.7657351225</v>
      </c>
      <c r="G64" s="80">
        <v>2.2563658159000002</v>
      </c>
      <c r="H64" s="80">
        <v>3.0572684314999998</v>
      </c>
      <c r="I64" s="80">
        <v>3.0235377111999999</v>
      </c>
      <c r="J64" s="80">
        <v>2.1079712947</v>
      </c>
      <c r="K64" s="80">
        <v>2.9066339671999999</v>
      </c>
      <c r="L64" s="80">
        <v>1.4134744401999999</v>
      </c>
      <c r="M64" s="80">
        <v>1.3270552886</v>
      </c>
      <c r="N64" s="80">
        <v>1.7062333537000001</v>
      </c>
      <c r="O64" s="80">
        <v>5.0381444503999999</v>
      </c>
      <c r="P64" s="80">
        <v>1.4325354890999999</v>
      </c>
      <c r="Q64" s="80">
        <v>4.4040290567999998</v>
      </c>
      <c r="R64" s="80">
        <v>3.1382304197000002</v>
      </c>
      <c r="S64" s="80">
        <v>1.1921820672000001</v>
      </c>
      <c r="T64" s="80">
        <v>3.1622318139000001</v>
      </c>
    </row>
    <row r="65" spans="1:20" x14ac:dyDescent="0.2">
      <c r="A65" s="11">
        <v>64</v>
      </c>
      <c r="B65" s="11">
        <v>3</v>
      </c>
      <c r="C65" s="12" t="s">
        <v>123</v>
      </c>
      <c r="D65" s="13" t="s">
        <v>124</v>
      </c>
      <c r="E65" s="80">
        <v>16.195066479000001</v>
      </c>
      <c r="F65" s="80">
        <v>11.027222358</v>
      </c>
      <c r="G65" s="80">
        <v>19.014019613999999</v>
      </c>
      <c r="H65" s="80">
        <v>11.339250513</v>
      </c>
      <c r="I65" s="80">
        <v>13.795864638999999</v>
      </c>
      <c r="J65" s="80">
        <v>16.263114995999999</v>
      </c>
      <c r="K65" s="80">
        <v>12.360375576999999</v>
      </c>
      <c r="L65" s="80">
        <v>13.61530116</v>
      </c>
      <c r="M65" s="80">
        <v>9.4881485658999996</v>
      </c>
      <c r="N65" s="80">
        <v>6.9097506746999997</v>
      </c>
      <c r="O65" s="80">
        <v>10.046048494000001</v>
      </c>
      <c r="P65" s="80">
        <v>14.734053081000001</v>
      </c>
      <c r="Q65" s="80">
        <v>15.484243042999999</v>
      </c>
      <c r="R65" s="80">
        <v>11.786531613999999</v>
      </c>
      <c r="S65" s="80">
        <v>12.396238690000001</v>
      </c>
      <c r="T65" s="80">
        <v>9.4999324493999993</v>
      </c>
    </row>
    <row r="66" spans="1:20" x14ac:dyDescent="0.2">
      <c r="A66" s="11">
        <v>65</v>
      </c>
      <c r="B66" s="11">
        <v>3</v>
      </c>
      <c r="C66" s="12" t="s">
        <v>125</v>
      </c>
      <c r="D66" s="13" t="s">
        <v>126</v>
      </c>
      <c r="E66" s="80">
        <v>1.3657425596999999</v>
      </c>
      <c r="F66" s="80">
        <v>1.8218137889999999</v>
      </c>
      <c r="G66" s="80">
        <v>1.8764658861000001</v>
      </c>
      <c r="H66" s="80">
        <v>1.3179569095999999</v>
      </c>
      <c r="I66" s="80">
        <v>1.9534003042999999</v>
      </c>
      <c r="J66" s="80">
        <v>9.2395059400000007E-2</v>
      </c>
      <c r="K66" s="80">
        <v>1.0094149102000001</v>
      </c>
      <c r="L66" s="80">
        <v>0.76737368510000004</v>
      </c>
      <c r="M66" s="80">
        <v>0.54912291020000004</v>
      </c>
      <c r="N66" s="80">
        <v>8.2058084399999995E-2</v>
      </c>
      <c r="O66" s="80">
        <v>7.7013107400000003E-2</v>
      </c>
      <c r="P66" s="80">
        <v>0.37290840619999999</v>
      </c>
      <c r="Q66" s="80">
        <v>0.65855401229999999</v>
      </c>
      <c r="R66" s="80">
        <v>0.29499277689999998</v>
      </c>
      <c r="S66" s="80">
        <v>0.28280653989999999</v>
      </c>
      <c r="T66" s="80">
        <v>1.5615338160000001</v>
      </c>
    </row>
    <row r="67" spans="1:20" x14ac:dyDescent="0.2">
      <c r="A67" s="11">
        <v>66</v>
      </c>
      <c r="B67" s="11">
        <v>3</v>
      </c>
      <c r="C67" s="12" t="s">
        <v>127</v>
      </c>
      <c r="D67" s="13" t="s">
        <v>128</v>
      </c>
      <c r="E67" s="80">
        <v>28.920344195999999</v>
      </c>
      <c r="F67" s="80">
        <v>31.068037092000001</v>
      </c>
      <c r="G67" s="80">
        <v>26.361109387999999</v>
      </c>
      <c r="H67" s="80">
        <v>21.152862392999999</v>
      </c>
      <c r="I67" s="80">
        <v>25.947877517999999</v>
      </c>
      <c r="J67" s="80">
        <v>23.945715139000001</v>
      </c>
      <c r="K67" s="80">
        <v>25.603749067999999</v>
      </c>
      <c r="L67" s="80">
        <v>23.673271366000002</v>
      </c>
      <c r="M67" s="80">
        <v>23.498197144999999</v>
      </c>
      <c r="N67" s="80">
        <v>17.910402865999998</v>
      </c>
      <c r="O67" s="80">
        <v>20.321838893999999</v>
      </c>
      <c r="P67" s="80">
        <v>16.200881475999999</v>
      </c>
      <c r="Q67" s="80">
        <v>15.090061607000001</v>
      </c>
      <c r="R67" s="80">
        <v>23.967381394</v>
      </c>
      <c r="S67" s="80">
        <v>16.710837801</v>
      </c>
      <c r="T67" s="80">
        <v>16.651874456000002</v>
      </c>
    </row>
    <row r="68" spans="1:20" x14ac:dyDescent="0.2">
      <c r="A68" s="8">
        <v>67</v>
      </c>
      <c r="B68" s="8">
        <v>2</v>
      </c>
      <c r="C68" s="9" t="s">
        <v>129</v>
      </c>
      <c r="D68" s="10" t="s">
        <v>130</v>
      </c>
      <c r="E68" s="79">
        <v>52.421223701999999</v>
      </c>
      <c r="F68" s="79">
        <v>47.472386895</v>
      </c>
      <c r="G68" s="79">
        <v>54.175365227</v>
      </c>
      <c r="H68" s="79">
        <v>48.778945882000002</v>
      </c>
      <c r="I68" s="79">
        <v>39.171648302999998</v>
      </c>
      <c r="J68" s="79">
        <v>45.636008629999999</v>
      </c>
      <c r="K68" s="79">
        <v>37.764680450999997</v>
      </c>
      <c r="L68" s="79">
        <v>39.989479893999999</v>
      </c>
      <c r="M68" s="79">
        <v>35.412569892999997</v>
      </c>
      <c r="N68" s="79">
        <v>53.602043643000002</v>
      </c>
      <c r="O68" s="79">
        <v>47.543958259999997</v>
      </c>
      <c r="P68" s="79">
        <v>40.590550499999999</v>
      </c>
      <c r="Q68" s="79">
        <v>41.755522112999998</v>
      </c>
      <c r="R68" s="79">
        <v>57.555532464000002</v>
      </c>
      <c r="S68" s="79">
        <v>48.140768753000003</v>
      </c>
      <c r="T68" s="79">
        <v>44.928825725999999</v>
      </c>
    </row>
    <row r="69" spans="1:20" x14ac:dyDescent="0.2">
      <c r="A69" s="11">
        <v>68</v>
      </c>
      <c r="B69" s="11">
        <v>3</v>
      </c>
      <c r="C69" s="12" t="s">
        <v>131</v>
      </c>
      <c r="D69" s="13" t="s">
        <v>132</v>
      </c>
      <c r="E69" s="80">
        <v>0.1</v>
      </c>
      <c r="F69" s="80">
        <v>0.1</v>
      </c>
      <c r="G69" s="80">
        <v>0.1</v>
      </c>
      <c r="H69" s="80">
        <v>0.1</v>
      </c>
      <c r="I69" s="80">
        <v>0.1</v>
      </c>
      <c r="J69" s="80">
        <v>0.1</v>
      </c>
      <c r="K69" s="80">
        <v>0.1</v>
      </c>
      <c r="L69" s="80">
        <v>0.1</v>
      </c>
      <c r="M69" s="80">
        <v>0.1</v>
      </c>
      <c r="N69" s="80">
        <v>0.1</v>
      </c>
      <c r="O69" s="80">
        <v>0.1</v>
      </c>
      <c r="P69" s="80">
        <v>0.1</v>
      </c>
      <c r="Q69" s="80">
        <v>0.1</v>
      </c>
      <c r="R69" s="80">
        <v>0.1</v>
      </c>
      <c r="S69" s="80">
        <v>0.1</v>
      </c>
      <c r="T69" s="80">
        <v>0.1</v>
      </c>
    </row>
    <row r="70" spans="1:20" x14ac:dyDescent="0.2">
      <c r="A70" s="11">
        <v>69</v>
      </c>
      <c r="B70" s="11">
        <v>3</v>
      </c>
      <c r="C70" s="12" t="s">
        <v>133</v>
      </c>
      <c r="D70" s="13" t="s">
        <v>134</v>
      </c>
      <c r="E70" s="80">
        <v>19.179558049000001</v>
      </c>
      <c r="F70" s="80">
        <v>14.708905201</v>
      </c>
      <c r="G70" s="80">
        <v>18.924675168</v>
      </c>
      <c r="H70" s="80">
        <v>15.669080391</v>
      </c>
      <c r="I70" s="80">
        <v>6.8801078391999999</v>
      </c>
      <c r="J70" s="80">
        <v>12.192665346</v>
      </c>
      <c r="K70" s="80">
        <v>12.264039624</v>
      </c>
      <c r="L70" s="80">
        <v>8.4680042285999999</v>
      </c>
      <c r="M70" s="80">
        <v>13.419010858</v>
      </c>
      <c r="N70" s="80">
        <v>10.651666486</v>
      </c>
      <c r="O70" s="80">
        <v>10.642164284</v>
      </c>
      <c r="P70" s="80">
        <v>5.1276379717999996</v>
      </c>
      <c r="Q70" s="80">
        <v>8.3715153231000006</v>
      </c>
      <c r="R70" s="80">
        <v>11.329430028000001</v>
      </c>
      <c r="S70" s="80">
        <v>7.9191998184000001</v>
      </c>
      <c r="T70" s="80">
        <v>12.773863189</v>
      </c>
    </row>
    <row r="71" spans="1:20" x14ac:dyDescent="0.2">
      <c r="A71" s="11">
        <v>70</v>
      </c>
      <c r="B71" s="11">
        <v>3</v>
      </c>
      <c r="C71" s="12" t="s">
        <v>135</v>
      </c>
      <c r="D71" s="13" t="s">
        <v>136</v>
      </c>
      <c r="E71" s="80">
        <v>33.898042250000003</v>
      </c>
      <c r="F71" s="80">
        <v>33.360522773</v>
      </c>
      <c r="G71" s="80">
        <v>36.103392345000003</v>
      </c>
      <c r="H71" s="80">
        <v>33.929957340000001</v>
      </c>
      <c r="I71" s="80">
        <v>32.577276165999997</v>
      </c>
      <c r="J71" s="80">
        <v>33.793861307999997</v>
      </c>
      <c r="K71" s="80">
        <v>25.456679476000001</v>
      </c>
      <c r="L71" s="80">
        <v>31.218329287</v>
      </c>
      <c r="M71" s="80">
        <v>20.599524160000001</v>
      </c>
      <c r="N71" s="80">
        <v>41.694069745999997</v>
      </c>
      <c r="O71" s="80">
        <v>35.379292436999997</v>
      </c>
      <c r="P71" s="80">
        <v>34.546606412000003</v>
      </c>
      <c r="Q71" s="80">
        <v>32.266930799999997</v>
      </c>
      <c r="R71" s="80">
        <v>44.984600335000003</v>
      </c>
      <c r="S71" s="80">
        <v>39.225453979999998</v>
      </c>
      <c r="T71" s="80">
        <v>31.678660632</v>
      </c>
    </row>
    <row r="72" spans="1:20" x14ac:dyDescent="0.2">
      <c r="A72" s="8">
        <v>71</v>
      </c>
      <c r="B72" s="8">
        <v>2</v>
      </c>
      <c r="C72" s="9" t="s">
        <v>137</v>
      </c>
      <c r="D72" s="10" t="s">
        <v>138</v>
      </c>
      <c r="E72" s="79">
        <v>21.777556520000001</v>
      </c>
      <c r="F72" s="79">
        <v>25.594718845999999</v>
      </c>
      <c r="G72" s="79">
        <v>22.494557225000001</v>
      </c>
      <c r="H72" s="79">
        <v>20.092816800000001</v>
      </c>
      <c r="I72" s="79">
        <v>20.233615255</v>
      </c>
      <c r="J72" s="79">
        <v>19.269258904000001</v>
      </c>
      <c r="K72" s="79">
        <v>19.522352379000001</v>
      </c>
      <c r="L72" s="79">
        <v>16.596999676999999</v>
      </c>
      <c r="M72" s="79">
        <v>12.86947357</v>
      </c>
      <c r="N72" s="79">
        <v>16.060946972</v>
      </c>
      <c r="O72" s="79">
        <v>14.32048093</v>
      </c>
      <c r="P72" s="79">
        <v>14.121949391999999</v>
      </c>
      <c r="Q72" s="79">
        <v>16.520312802999999</v>
      </c>
      <c r="R72" s="79">
        <v>14.173796306</v>
      </c>
      <c r="S72" s="79">
        <v>15.792351021</v>
      </c>
      <c r="T72" s="79">
        <v>19.926165696000002</v>
      </c>
    </row>
    <row r="73" spans="1:20" x14ac:dyDescent="0.2">
      <c r="A73" s="11">
        <v>72</v>
      </c>
      <c r="B73" s="11">
        <v>3</v>
      </c>
      <c r="C73" s="12" t="s">
        <v>139</v>
      </c>
      <c r="D73" s="13" t="s">
        <v>140</v>
      </c>
      <c r="E73" s="80">
        <v>5.2591458688000001</v>
      </c>
      <c r="F73" s="80">
        <v>6.5057819341999998</v>
      </c>
      <c r="G73" s="80">
        <v>6.4217636488999998</v>
      </c>
      <c r="H73" s="80">
        <v>6.5908539001999999</v>
      </c>
      <c r="I73" s="80">
        <v>5.6475758449000004</v>
      </c>
      <c r="J73" s="80">
        <v>5.6374648194999999</v>
      </c>
      <c r="K73" s="80">
        <v>6.0719181504000002</v>
      </c>
      <c r="L73" s="80">
        <v>5.3322058271000001</v>
      </c>
      <c r="M73" s="80">
        <v>3.5901999258999999</v>
      </c>
      <c r="N73" s="80">
        <v>3.7446502853000001</v>
      </c>
      <c r="O73" s="80">
        <v>4.9892612719000002</v>
      </c>
      <c r="P73" s="80">
        <v>4.6733350824000004</v>
      </c>
      <c r="Q73" s="80">
        <v>3.5755616764</v>
      </c>
      <c r="R73" s="80">
        <v>1.8913646513</v>
      </c>
      <c r="S73" s="80">
        <v>2.5069831469000001</v>
      </c>
      <c r="T73" s="80">
        <v>4.4854065549</v>
      </c>
    </row>
    <row r="74" spans="1:20" x14ac:dyDescent="0.2">
      <c r="A74" s="11">
        <v>73</v>
      </c>
      <c r="B74" s="11">
        <v>3</v>
      </c>
      <c r="C74" s="12" t="s">
        <v>141</v>
      </c>
      <c r="D74" s="13" t="s">
        <v>142</v>
      </c>
      <c r="E74" s="80">
        <v>7.0089697094999996</v>
      </c>
      <c r="F74" s="80">
        <v>9.0314039193000006</v>
      </c>
      <c r="G74" s="80">
        <v>8.6605766537999997</v>
      </c>
      <c r="H74" s="80">
        <v>2.0702001038</v>
      </c>
      <c r="I74" s="80">
        <v>4.1421482776999996</v>
      </c>
      <c r="J74" s="80">
        <v>3.4820644733999999</v>
      </c>
      <c r="K74" s="80">
        <v>4.4299730843000003</v>
      </c>
      <c r="L74" s="80">
        <v>3.1230150962000001</v>
      </c>
      <c r="M74" s="80">
        <v>3.9418497023999999</v>
      </c>
      <c r="N74" s="80">
        <v>2.4086709191</v>
      </c>
      <c r="O74" s="80">
        <v>2.0547777470000002</v>
      </c>
      <c r="P74" s="80">
        <v>2.7130888194999998</v>
      </c>
      <c r="Q74" s="80">
        <v>6.7046117889000003</v>
      </c>
      <c r="R74" s="80">
        <v>2.9468726430999999</v>
      </c>
      <c r="S74" s="80">
        <v>3.9667114471999998</v>
      </c>
      <c r="T74" s="80">
        <v>6.2368025074000002</v>
      </c>
    </row>
    <row r="75" spans="1:20" x14ac:dyDescent="0.2">
      <c r="A75" s="11">
        <v>74</v>
      </c>
      <c r="B75" s="11">
        <v>3</v>
      </c>
      <c r="C75" s="12" t="s">
        <v>143</v>
      </c>
      <c r="D75" s="13" t="s">
        <v>144</v>
      </c>
      <c r="E75" s="80">
        <v>8.9912228031999994</v>
      </c>
      <c r="F75" s="80">
        <v>9.1840914768000008</v>
      </c>
      <c r="G75" s="80">
        <v>6.4757253746999996</v>
      </c>
      <c r="H75" s="80">
        <v>9.9786011051999992</v>
      </c>
      <c r="I75" s="80">
        <v>9.1432455124000001</v>
      </c>
      <c r="J75" s="80">
        <v>8.9936764272000005</v>
      </c>
      <c r="K75" s="80">
        <v>8.2951341402000001</v>
      </c>
      <c r="L75" s="80">
        <v>7.8411900818999998</v>
      </c>
      <c r="M75" s="80">
        <v>5.4737231134000002</v>
      </c>
      <c r="N75" s="80">
        <v>10.608069034</v>
      </c>
      <c r="O75" s="80">
        <v>7.9754660158000004</v>
      </c>
      <c r="P75" s="80">
        <v>7.5312222434000002</v>
      </c>
      <c r="Q75" s="80">
        <v>7.2236935580999999</v>
      </c>
      <c r="R75" s="80">
        <v>10.062949474</v>
      </c>
      <c r="S75" s="80">
        <v>9.9966512330999997</v>
      </c>
      <c r="T75" s="80">
        <v>10.259131099999999</v>
      </c>
    </row>
    <row r="76" spans="1:20" x14ac:dyDescent="0.2">
      <c r="A76" s="8">
        <v>75</v>
      </c>
      <c r="B76" s="8">
        <v>2</v>
      </c>
      <c r="C76" s="9" t="s">
        <v>145</v>
      </c>
      <c r="D76" s="10" t="s">
        <v>146</v>
      </c>
      <c r="E76" s="79">
        <v>53.894037396999998</v>
      </c>
      <c r="F76" s="79">
        <v>48.077585579999997</v>
      </c>
      <c r="G76" s="79">
        <v>53.408283267999998</v>
      </c>
      <c r="H76" s="79">
        <v>54.593293238999998</v>
      </c>
      <c r="I76" s="79">
        <v>52.259861567999998</v>
      </c>
      <c r="J76" s="79">
        <v>44.845115681999999</v>
      </c>
      <c r="K76" s="79">
        <v>49.833846948999998</v>
      </c>
      <c r="L76" s="79">
        <v>44.384847418</v>
      </c>
      <c r="M76" s="79">
        <v>44.876115994000003</v>
      </c>
      <c r="N76" s="79">
        <v>37.498173094000002</v>
      </c>
      <c r="O76" s="79">
        <v>42.889920195000002</v>
      </c>
      <c r="P76" s="79">
        <v>40.531282357000002</v>
      </c>
      <c r="Q76" s="79">
        <v>43.380478939</v>
      </c>
      <c r="R76" s="79">
        <v>32.945651388999998</v>
      </c>
      <c r="S76" s="79">
        <v>33.253688302999997</v>
      </c>
      <c r="T76" s="79">
        <v>31.909851758999999</v>
      </c>
    </row>
    <row r="77" spans="1:20" x14ac:dyDescent="0.2">
      <c r="A77" s="11">
        <v>76</v>
      </c>
      <c r="B77" s="11">
        <v>3</v>
      </c>
      <c r="C77" s="12" t="s">
        <v>147</v>
      </c>
      <c r="D77" s="13" t="s">
        <v>148</v>
      </c>
      <c r="E77" s="80">
        <v>0.26985024029999999</v>
      </c>
      <c r="F77" s="80">
        <v>0.25512153739999999</v>
      </c>
      <c r="G77" s="80">
        <v>0.30780521</v>
      </c>
      <c r="H77" s="80">
        <v>8.8205029000000004E-2</v>
      </c>
      <c r="I77" s="80">
        <v>9.2529325400000001E-2</v>
      </c>
      <c r="J77" s="80">
        <v>9.7035862700000003E-2</v>
      </c>
      <c r="K77" s="80">
        <v>9.9364115399999994E-2</v>
      </c>
      <c r="L77" s="80">
        <v>0.10047177910000001</v>
      </c>
      <c r="M77" s="80">
        <v>0.10246928550000001</v>
      </c>
      <c r="N77" s="80">
        <v>0.1030059819</v>
      </c>
      <c r="O77" s="80">
        <v>0.103628265</v>
      </c>
      <c r="P77" s="80">
        <v>0.105827491</v>
      </c>
      <c r="Q77" s="80">
        <v>0.43348178599999998</v>
      </c>
      <c r="R77" s="80">
        <v>0.1129876471</v>
      </c>
      <c r="S77" s="80">
        <v>0.11548623450000001</v>
      </c>
      <c r="T77" s="80">
        <v>0.1184304632</v>
      </c>
    </row>
    <row r="78" spans="1:20" x14ac:dyDescent="0.2">
      <c r="A78" s="11">
        <v>77</v>
      </c>
      <c r="B78" s="11">
        <v>3</v>
      </c>
      <c r="C78" s="12" t="s">
        <v>149</v>
      </c>
      <c r="D78" s="13" t="s">
        <v>150</v>
      </c>
      <c r="E78" s="80">
        <v>52.762188784000003</v>
      </c>
      <c r="F78" s="80">
        <v>46.042414096000002</v>
      </c>
      <c r="G78" s="80">
        <v>51.017560627999998</v>
      </c>
      <c r="H78" s="80">
        <v>52.799969087999997</v>
      </c>
      <c r="I78" s="80">
        <v>49.863859024</v>
      </c>
      <c r="J78" s="80">
        <v>43.840451989000002</v>
      </c>
      <c r="K78" s="80">
        <v>49.042992587000001</v>
      </c>
      <c r="L78" s="80">
        <v>43.589309268000001</v>
      </c>
      <c r="M78" s="80">
        <v>43.86572468</v>
      </c>
      <c r="N78" s="80">
        <v>36.184596380000002</v>
      </c>
      <c r="O78" s="80">
        <v>42.478962856000003</v>
      </c>
      <c r="P78" s="80">
        <v>40.484024986000001</v>
      </c>
      <c r="Q78" s="80">
        <v>42.563469752000003</v>
      </c>
      <c r="R78" s="80">
        <v>32.295324536999999</v>
      </c>
      <c r="S78" s="80">
        <v>32.841292682000002</v>
      </c>
      <c r="T78" s="80">
        <v>31.694855624999999</v>
      </c>
    </row>
    <row r="79" spans="1:20" x14ac:dyDescent="0.2">
      <c r="A79" s="11">
        <v>78</v>
      </c>
      <c r="B79" s="11">
        <v>3</v>
      </c>
      <c r="C79" s="12" t="s">
        <v>151</v>
      </c>
      <c r="D79" s="13" t="s">
        <v>152</v>
      </c>
      <c r="E79" s="80">
        <v>0.70776176339999997</v>
      </c>
      <c r="F79" s="80">
        <v>1.7960868720000001</v>
      </c>
      <c r="G79" s="80">
        <v>2.1651388135</v>
      </c>
      <c r="H79" s="80">
        <v>1.7796224094999999</v>
      </c>
      <c r="I79" s="80">
        <v>2.3299128929999999</v>
      </c>
      <c r="J79" s="80">
        <v>0.84522963449999999</v>
      </c>
      <c r="K79" s="80">
        <v>0.68863996189999999</v>
      </c>
      <c r="L79" s="80">
        <v>0.81229134459999996</v>
      </c>
      <c r="M79" s="80">
        <v>1.2112087804</v>
      </c>
      <c r="N79" s="80">
        <v>1.6551309604</v>
      </c>
      <c r="O79" s="80">
        <v>0.55703881789999998</v>
      </c>
      <c r="P79" s="80">
        <v>0.1188353196</v>
      </c>
      <c r="Q79" s="80">
        <v>0.29135891829999999</v>
      </c>
      <c r="R79" s="80">
        <v>0.59025196690000004</v>
      </c>
      <c r="S79" s="80">
        <v>0.26378919950000002</v>
      </c>
      <c r="T79" s="80">
        <v>0.13766503590000001</v>
      </c>
    </row>
    <row r="80" spans="1:20" x14ac:dyDescent="0.2">
      <c r="A80" s="8">
        <v>79</v>
      </c>
      <c r="B80" s="8">
        <v>2</v>
      </c>
      <c r="C80" s="9" t="s">
        <v>153</v>
      </c>
      <c r="D80" s="10" t="s">
        <v>154</v>
      </c>
      <c r="E80" s="79">
        <v>9.8893546264999994</v>
      </c>
      <c r="F80" s="79">
        <v>8.4789712501000007</v>
      </c>
      <c r="G80" s="79">
        <v>5.8907109100000001</v>
      </c>
      <c r="H80" s="79">
        <v>8.8584786702000002</v>
      </c>
      <c r="I80" s="79">
        <v>7.0879531830999998</v>
      </c>
      <c r="J80" s="79">
        <v>5.2909300594999999</v>
      </c>
      <c r="K80" s="79">
        <v>9.4641384775000006</v>
      </c>
      <c r="L80" s="79">
        <v>11.346437933000001</v>
      </c>
      <c r="M80" s="79">
        <v>8.4726134815999998</v>
      </c>
      <c r="N80" s="79">
        <v>7.2286586927999998</v>
      </c>
      <c r="O80" s="79">
        <v>10.540565840999999</v>
      </c>
      <c r="P80" s="79">
        <v>6.2421748621999997</v>
      </c>
      <c r="Q80" s="79">
        <v>9.8870133255999999</v>
      </c>
      <c r="R80" s="79">
        <v>6.2072699692000004</v>
      </c>
      <c r="S80" s="79">
        <v>7.9598401085999999</v>
      </c>
      <c r="T80" s="79">
        <v>5.8061335013999997</v>
      </c>
    </row>
    <row r="81" spans="1:20" x14ac:dyDescent="0.2">
      <c r="A81" s="11">
        <v>80</v>
      </c>
      <c r="B81" s="11">
        <v>3</v>
      </c>
      <c r="C81" s="12" t="s">
        <v>155</v>
      </c>
      <c r="D81" s="13" t="s">
        <v>154</v>
      </c>
      <c r="E81" s="80">
        <v>9.8893546264999994</v>
      </c>
      <c r="F81" s="80">
        <v>8.4789712501000007</v>
      </c>
      <c r="G81" s="80">
        <v>5.8907109100000001</v>
      </c>
      <c r="H81" s="80">
        <v>8.8584786702000002</v>
      </c>
      <c r="I81" s="80">
        <v>7.0879531830999998</v>
      </c>
      <c r="J81" s="80">
        <v>5.2909300594999999</v>
      </c>
      <c r="K81" s="80">
        <v>9.4641384775000006</v>
      </c>
      <c r="L81" s="80">
        <v>11.346437933000001</v>
      </c>
      <c r="M81" s="80">
        <v>8.4726134815999998</v>
      </c>
      <c r="N81" s="80">
        <v>7.2286586927999998</v>
      </c>
      <c r="O81" s="80">
        <v>10.540565840999999</v>
      </c>
      <c r="P81" s="80">
        <v>6.2421748621999997</v>
      </c>
      <c r="Q81" s="80">
        <v>9.8870133255999999</v>
      </c>
      <c r="R81" s="80">
        <v>6.2072699692000004</v>
      </c>
      <c r="S81" s="80">
        <v>7.9598401085999999</v>
      </c>
      <c r="T81" s="80">
        <v>5.8061335013999997</v>
      </c>
    </row>
    <row r="82" spans="1:20" x14ac:dyDescent="0.2">
      <c r="A82" s="8">
        <v>81</v>
      </c>
      <c r="B82" s="8">
        <v>2</v>
      </c>
      <c r="C82" s="9" t="s">
        <v>156</v>
      </c>
      <c r="D82" s="10" t="s">
        <v>157</v>
      </c>
      <c r="E82" s="79">
        <v>39.962892398000001</v>
      </c>
      <c r="F82" s="79">
        <v>34.637369440000001</v>
      </c>
      <c r="G82" s="79">
        <v>41.926089976999997</v>
      </c>
      <c r="H82" s="79">
        <v>45.954412877999999</v>
      </c>
      <c r="I82" s="79">
        <v>41.216916071</v>
      </c>
      <c r="J82" s="79">
        <v>44.454792513000001</v>
      </c>
      <c r="K82" s="79">
        <v>45.512772460999997</v>
      </c>
      <c r="L82" s="79">
        <v>38.442956072000001</v>
      </c>
      <c r="M82" s="79">
        <v>47.074141834000002</v>
      </c>
      <c r="N82" s="79">
        <v>48.163942650000003</v>
      </c>
      <c r="O82" s="79">
        <v>50.224748667999997</v>
      </c>
      <c r="P82" s="79">
        <v>47.308556447000001</v>
      </c>
      <c r="Q82" s="79">
        <v>47.784122275000001</v>
      </c>
      <c r="R82" s="79">
        <v>60.816331198</v>
      </c>
      <c r="S82" s="79">
        <v>47.939425630000002</v>
      </c>
      <c r="T82" s="79">
        <v>53.363570260000003</v>
      </c>
    </row>
    <row r="83" spans="1:20" x14ac:dyDescent="0.2">
      <c r="A83" s="11">
        <v>82</v>
      </c>
      <c r="B83" s="11">
        <v>3</v>
      </c>
      <c r="C83" s="12" t="s">
        <v>158</v>
      </c>
      <c r="D83" s="13" t="s">
        <v>159</v>
      </c>
      <c r="E83" s="80">
        <v>6.0547811815000001</v>
      </c>
      <c r="F83" s="80">
        <v>6.4536475994</v>
      </c>
      <c r="G83" s="80">
        <v>6.0077051036000002</v>
      </c>
      <c r="H83" s="80">
        <v>4.3350972826999996</v>
      </c>
      <c r="I83" s="80">
        <v>4.1151007545000002</v>
      </c>
      <c r="J83" s="80">
        <v>1.9084329756</v>
      </c>
      <c r="K83" s="80">
        <v>6.7237800855999996</v>
      </c>
      <c r="L83" s="80">
        <v>5.2974999388999997</v>
      </c>
      <c r="M83" s="80">
        <v>7.4298125066000003</v>
      </c>
      <c r="N83" s="80">
        <v>11.275643988000001</v>
      </c>
      <c r="O83" s="80">
        <v>4.8134355036000001</v>
      </c>
      <c r="P83" s="80">
        <v>6.8317891687000003</v>
      </c>
      <c r="Q83" s="80">
        <v>5.0824496737000002</v>
      </c>
      <c r="R83" s="80">
        <v>7.8585505947999996</v>
      </c>
      <c r="S83" s="80">
        <v>2.2662892613999999</v>
      </c>
      <c r="T83" s="80">
        <v>2.7068110705000001</v>
      </c>
    </row>
    <row r="84" spans="1:20" x14ac:dyDescent="0.2">
      <c r="A84" s="11">
        <v>83</v>
      </c>
      <c r="B84" s="11">
        <v>3</v>
      </c>
      <c r="C84" s="12" t="s">
        <v>160</v>
      </c>
      <c r="D84" s="13" t="s">
        <v>161</v>
      </c>
      <c r="E84" s="80">
        <v>3.7107155473</v>
      </c>
      <c r="F84" s="80">
        <v>2.6048410498000001</v>
      </c>
      <c r="G84" s="80">
        <v>3.1878865090000001</v>
      </c>
      <c r="H84" s="80">
        <v>4.7331254231999997</v>
      </c>
      <c r="I84" s="80">
        <v>3.4852872688000001</v>
      </c>
      <c r="J84" s="80">
        <v>4.0185886268999997</v>
      </c>
      <c r="K84" s="80">
        <v>2.7278433702</v>
      </c>
      <c r="L84" s="80">
        <v>4.1721313512</v>
      </c>
      <c r="M84" s="80">
        <v>2.5622756939000002</v>
      </c>
      <c r="N84" s="80">
        <v>5.3452261845000004</v>
      </c>
      <c r="O84" s="80">
        <v>6.0532387743999996</v>
      </c>
      <c r="P84" s="80">
        <v>5.8687180951000002</v>
      </c>
      <c r="Q84" s="80">
        <v>3.9036389262000002</v>
      </c>
      <c r="R84" s="80">
        <v>5.2984290300000003</v>
      </c>
      <c r="S84" s="80">
        <v>6.5340418830000004</v>
      </c>
      <c r="T84" s="80">
        <v>3.611472612</v>
      </c>
    </row>
    <row r="85" spans="1:20" x14ac:dyDescent="0.2">
      <c r="A85" s="11">
        <v>84</v>
      </c>
      <c r="B85" s="11">
        <v>3</v>
      </c>
      <c r="C85" s="12" t="s">
        <v>162</v>
      </c>
      <c r="D85" s="13" t="s">
        <v>163</v>
      </c>
      <c r="E85" s="80">
        <v>1.0983581334000001</v>
      </c>
      <c r="F85" s="80">
        <v>0.80563424210000001</v>
      </c>
      <c r="G85" s="80">
        <v>1.5042369834</v>
      </c>
      <c r="H85" s="80">
        <v>1.3628775705</v>
      </c>
      <c r="I85" s="80">
        <v>0.43098849769999997</v>
      </c>
      <c r="J85" s="80">
        <v>0.116610531</v>
      </c>
      <c r="K85" s="80">
        <v>0.42160550359999999</v>
      </c>
      <c r="L85" s="80">
        <v>0.39481209890000002</v>
      </c>
      <c r="M85" s="80">
        <v>2.5009851061999999</v>
      </c>
      <c r="N85" s="80">
        <v>0.1055214266</v>
      </c>
      <c r="O85" s="80">
        <v>1.9116281608000001</v>
      </c>
      <c r="P85" s="80">
        <v>1.3267738407</v>
      </c>
      <c r="Q85" s="80">
        <v>2.7666640537</v>
      </c>
      <c r="R85" s="80">
        <v>1.8479377673999999</v>
      </c>
      <c r="S85" s="80">
        <v>1.9728622786000001</v>
      </c>
      <c r="T85" s="80">
        <v>2.8696403930000001</v>
      </c>
    </row>
    <row r="86" spans="1:20" x14ac:dyDescent="0.2">
      <c r="A86" s="11">
        <v>85</v>
      </c>
      <c r="B86" s="11">
        <v>3</v>
      </c>
      <c r="C86" s="12" t="s">
        <v>164</v>
      </c>
      <c r="D86" s="13" t="s">
        <v>165</v>
      </c>
      <c r="E86" s="80">
        <v>4.1883219267999996</v>
      </c>
      <c r="F86" s="80">
        <v>3.1248388005000001</v>
      </c>
      <c r="G86" s="80">
        <v>5.1406894648000003</v>
      </c>
      <c r="H86" s="80">
        <v>6.2927663953000001</v>
      </c>
      <c r="I86" s="80">
        <v>4.5274905370000003</v>
      </c>
      <c r="J86" s="80">
        <v>3.9882284266000001</v>
      </c>
      <c r="K86" s="80">
        <v>3.7787432088999999</v>
      </c>
      <c r="L86" s="80">
        <v>3.4900000430000002</v>
      </c>
      <c r="M86" s="80">
        <v>3.4794952054000001</v>
      </c>
      <c r="N86" s="80">
        <v>2.7001683945999999</v>
      </c>
      <c r="O86" s="80">
        <v>6.7530511032999998</v>
      </c>
      <c r="P86" s="80">
        <v>3.9075126004</v>
      </c>
      <c r="Q86" s="80">
        <v>2.3683911180999999</v>
      </c>
      <c r="R86" s="80">
        <v>8.4598747125999996</v>
      </c>
      <c r="S86" s="80">
        <v>1.7942972683</v>
      </c>
      <c r="T86" s="80">
        <v>7.4978247669</v>
      </c>
    </row>
    <row r="87" spans="1:20" x14ac:dyDescent="0.2">
      <c r="A87" s="11">
        <v>86</v>
      </c>
      <c r="B87" s="11">
        <v>3</v>
      </c>
      <c r="C87" s="12" t="s">
        <v>166</v>
      </c>
      <c r="D87" s="13" t="s">
        <v>167</v>
      </c>
      <c r="E87" s="80">
        <v>16.923463533</v>
      </c>
      <c r="F87" s="80">
        <v>14.714389134999999</v>
      </c>
      <c r="G87" s="80">
        <v>16.646694092000001</v>
      </c>
      <c r="H87" s="80">
        <v>20.517392205</v>
      </c>
      <c r="I87" s="80">
        <v>19.860238526</v>
      </c>
      <c r="J87" s="80">
        <v>25.220192988000001</v>
      </c>
      <c r="K87" s="80">
        <v>24.96021197</v>
      </c>
      <c r="L87" s="80">
        <v>12.662024439</v>
      </c>
      <c r="M87" s="80">
        <v>22.164251433</v>
      </c>
      <c r="N87" s="80">
        <v>17.705782756000001</v>
      </c>
      <c r="O87" s="80">
        <v>20.557434763</v>
      </c>
      <c r="P87" s="80">
        <v>16.604471742000001</v>
      </c>
      <c r="Q87" s="80">
        <v>20.359310468</v>
      </c>
      <c r="R87" s="80">
        <v>28.955504556000001</v>
      </c>
      <c r="S87" s="80">
        <v>23.117146335000001</v>
      </c>
      <c r="T87" s="80">
        <v>24.900440657000001</v>
      </c>
    </row>
    <row r="88" spans="1:20" x14ac:dyDescent="0.2">
      <c r="A88" s="11">
        <v>87</v>
      </c>
      <c r="B88" s="11">
        <v>3</v>
      </c>
      <c r="C88" s="12" t="s">
        <v>168</v>
      </c>
      <c r="D88" s="13" t="s">
        <v>169</v>
      </c>
      <c r="E88" s="80">
        <v>7.1335920057999997</v>
      </c>
      <c r="F88" s="80">
        <v>6.2770730880999999</v>
      </c>
      <c r="G88" s="80">
        <v>8.0481620385999992</v>
      </c>
      <c r="H88" s="80">
        <v>6.9964788128000004</v>
      </c>
      <c r="I88" s="80">
        <v>5.7619592922000002</v>
      </c>
      <c r="J88" s="80">
        <v>6.0546627097999997</v>
      </c>
      <c r="K88" s="80">
        <v>3.9785540645999999</v>
      </c>
      <c r="L88" s="80">
        <v>11.332467993</v>
      </c>
      <c r="M88" s="80">
        <v>7.5018741756000002</v>
      </c>
      <c r="N88" s="80">
        <v>8.0834771061000001</v>
      </c>
      <c r="O88" s="80">
        <v>7.0238157210000001</v>
      </c>
      <c r="P88" s="80">
        <v>12.001174557000001</v>
      </c>
      <c r="Q88" s="80">
        <v>12.399795038000001</v>
      </c>
      <c r="R88" s="80">
        <v>8.6014618629000008</v>
      </c>
      <c r="S88" s="80">
        <v>9.4733024711000002</v>
      </c>
      <c r="T88" s="80">
        <v>8.6856753795999992</v>
      </c>
    </row>
    <row r="89" spans="1:20" x14ac:dyDescent="0.2">
      <c r="A89" s="11">
        <v>88</v>
      </c>
      <c r="B89" s="11">
        <v>3</v>
      </c>
      <c r="C89" s="12" t="s">
        <v>170</v>
      </c>
      <c r="D89" s="13" t="s">
        <v>171</v>
      </c>
      <c r="E89" s="80">
        <v>0.75953345959999996</v>
      </c>
      <c r="F89" s="80">
        <v>0.66012090400000001</v>
      </c>
      <c r="G89" s="80">
        <v>1.3163992167</v>
      </c>
      <c r="H89" s="80">
        <v>1.4882074623999999</v>
      </c>
      <c r="I89" s="80">
        <v>2.6428325955999998</v>
      </c>
      <c r="J89" s="80">
        <v>2.6647015324000001</v>
      </c>
      <c r="K89" s="80">
        <v>2.3958845423000001</v>
      </c>
      <c r="L89" s="80">
        <v>1.0415719405999999</v>
      </c>
      <c r="M89" s="80">
        <v>1.1543494621999999</v>
      </c>
      <c r="N89" s="80">
        <v>2.6451629119</v>
      </c>
      <c r="O89" s="80">
        <v>3.6988423291000001</v>
      </c>
      <c r="P89" s="80">
        <v>1.2711688947999999</v>
      </c>
      <c r="Q89" s="80">
        <v>1.2997194908</v>
      </c>
      <c r="R89" s="80">
        <v>1.7353969938</v>
      </c>
      <c r="S89" s="80">
        <v>3.3270115158000002</v>
      </c>
      <c r="T89" s="80">
        <v>4.8772225901999997</v>
      </c>
    </row>
    <row r="90" spans="1:20" x14ac:dyDescent="0.2">
      <c r="A90" s="8">
        <v>89</v>
      </c>
      <c r="B90" s="8">
        <v>2</v>
      </c>
      <c r="C90" s="9" t="s">
        <v>172</v>
      </c>
      <c r="D90" s="10" t="s">
        <v>173</v>
      </c>
      <c r="E90" s="79">
        <v>40.332603487</v>
      </c>
      <c r="F90" s="79">
        <v>39.415009040999998</v>
      </c>
      <c r="G90" s="79">
        <v>45.719032261999999</v>
      </c>
      <c r="H90" s="79">
        <v>43.111454248999998</v>
      </c>
      <c r="I90" s="79">
        <v>37.574817578999998</v>
      </c>
      <c r="J90" s="79">
        <v>31.995346236</v>
      </c>
      <c r="K90" s="79">
        <v>33.815153512000002</v>
      </c>
      <c r="L90" s="79">
        <v>38.955689640000003</v>
      </c>
      <c r="M90" s="79">
        <v>33.985646172999999</v>
      </c>
      <c r="N90" s="79">
        <v>28.237958159000002</v>
      </c>
      <c r="O90" s="79">
        <v>32.000029752000003</v>
      </c>
      <c r="P90" s="79">
        <v>31.005655073</v>
      </c>
      <c r="Q90" s="79">
        <v>24.939770808999999</v>
      </c>
      <c r="R90" s="79">
        <v>35.897829442000003</v>
      </c>
      <c r="S90" s="79">
        <v>41.491396129000002</v>
      </c>
      <c r="T90" s="79">
        <v>28.803066910999998</v>
      </c>
    </row>
    <row r="91" spans="1:20" x14ac:dyDescent="0.2">
      <c r="A91" s="11">
        <v>90</v>
      </c>
      <c r="B91" s="11">
        <v>3</v>
      </c>
      <c r="C91" s="12" t="s">
        <v>174</v>
      </c>
      <c r="D91" s="13" t="s">
        <v>175</v>
      </c>
      <c r="E91" s="80">
        <v>9.7626014400000002E-2</v>
      </c>
      <c r="F91" s="80">
        <v>9.8091434399999997E-2</v>
      </c>
      <c r="G91" s="80">
        <v>0.53033673199999998</v>
      </c>
      <c r="H91" s="80">
        <v>1.8838156988999999</v>
      </c>
      <c r="I91" s="80">
        <v>1.7653765809999999</v>
      </c>
      <c r="J91" s="80">
        <v>0.10797107409999999</v>
      </c>
      <c r="K91" s="80">
        <v>1.2826151161999999</v>
      </c>
      <c r="L91" s="80">
        <v>0.67979545949999998</v>
      </c>
      <c r="M91" s="80">
        <v>1.7923833055</v>
      </c>
      <c r="N91" s="80">
        <v>0.84512343649999999</v>
      </c>
      <c r="O91" s="80">
        <v>0.47944501379999999</v>
      </c>
      <c r="P91" s="80">
        <v>1.2094007727</v>
      </c>
      <c r="Q91" s="80">
        <v>1.1514577954</v>
      </c>
      <c r="R91" s="80">
        <v>0.4169402579</v>
      </c>
      <c r="S91" s="80">
        <v>0.59425444940000005</v>
      </c>
      <c r="T91" s="80">
        <v>0.739431799</v>
      </c>
    </row>
    <row r="92" spans="1:20" x14ac:dyDescent="0.2">
      <c r="A92" s="11">
        <v>91</v>
      </c>
      <c r="B92" s="11">
        <v>3</v>
      </c>
      <c r="C92" s="12" t="s">
        <v>176</v>
      </c>
      <c r="D92" s="13" t="s">
        <v>177</v>
      </c>
      <c r="E92" s="80">
        <v>38.680938916999999</v>
      </c>
      <c r="F92" s="80">
        <v>37.534241819999998</v>
      </c>
      <c r="G92" s="80">
        <v>42.409443778000004</v>
      </c>
      <c r="H92" s="80">
        <v>39.865102813</v>
      </c>
      <c r="I92" s="80">
        <v>33.365136907</v>
      </c>
      <c r="J92" s="80">
        <v>30.391006230999999</v>
      </c>
      <c r="K92" s="80">
        <v>31.089075313999999</v>
      </c>
      <c r="L92" s="80">
        <v>37.105713104000003</v>
      </c>
      <c r="M92" s="80">
        <v>30.069748776000001</v>
      </c>
      <c r="N92" s="80">
        <v>26.492021737000002</v>
      </c>
      <c r="O92" s="80">
        <v>29.721796376</v>
      </c>
      <c r="P92" s="80">
        <v>28.823963643999999</v>
      </c>
      <c r="Q92" s="80">
        <v>23.091683325999998</v>
      </c>
      <c r="R92" s="80">
        <v>33.288685811000001</v>
      </c>
      <c r="S92" s="80">
        <v>37.059226948999999</v>
      </c>
      <c r="T92" s="80">
        <v>26.064199043999999</v>
      </c>
    </row>
    <row r="93" spans="1:20" x14ac:dyDescent="0.2">
      <c r="A93" s="11">
        <v>92</v>
      </c>
      <c r="B93" s="11">
        <v>3</v>
      </c>
      <c r="C93" s="12" t="s">
        <v>178</v>
      </c>
      <c r="D93" s="13" t="s">
        <v>179</v>
      </c>
      <c r="E93" s="80">
        <v>1.6702046349999999</v>
      </c>
      <c r="F93" s="80">
        <v>1.894843718</v>
      </c>
      <c r="G93" s="80">
        <v>2.7450924480999999</v>
      </c>
      <c r="H93" s="80">
        <v>1.2007308889999999</v>
      </c>
      <c r="I93" s="80">
        <v>2.2149332903999999</v>
      </c>
      <c r="J93" s="80">
        <v>1.1749285357999999</v>
      </c>
      <c r="K93" s="80">
        <v>1.094001918</v>
      </c>
      <c r="L93" s="80">
        <v>0.7254221528</v>
      </c>
      <c r="M93" s="80">
        <v>1.9243260740999999</v>
      </c>
      <c r="N93" s="80">
        <v>0.55655026200000002</v>
      </c>
      <c r="O93" s="80">
        <v>1.5000547997</v>
      </c>
      <c r="P93" s="80">
        <v>0.49899057679999997</v>
      </c>
      <c r="Q93" s="80">
        <v>0.348863119</v>
      </c>
      <c r="R93" s="80">
        <v>1.7971981904000001</v>
      </c>
      <c r="S93" s="80">
        <v>3.3029160363000001</v>
      </c>
      <c r="T93" s="80">
        <v>1.6447743349999999</v>
      </c>
    </row>
    <row r="94" spans="1:20" x14ac:dyDescent="0.2">
      <c r="A94" s="8">
        <v>93</v>
      </c>
      <c r="B94" s="8">
        <v>2</v>
      </c>
      <c r="C94" s="9" t="s">
        <v>180</v>
      </c>
      <c r="D94" s="10" t="s">
        <v>181</v>
      </c>
      <c r="E94" s="79">
        <v>37.809502592000001</v>
      </c>
      <c r="F94" s="79">
        <v>43.161381429000002</v>
      </c>
      <c r="G94" s="79">
        <v>36.786668896999998</v>
      </c>
      <c r="H94" s="79">
        <v>40.867896373000001</v>
      </c>
      <c r="I94" s="79">
        <v>34.781334665000003</v>
      </c>
      <c r="J94" s="79">
        <v>39.306923275999999</v>
      </c>
      <c r="K94" s="79">
        <v>35.994932235</v>
      </c>
      <c r="L94" s="79">
        <v>39.720841659000001</v>
      </c>
      <c r="M94" s="79">
        <v>34.827956518000001</v>
      </c>
      <c r="N94" s="79">
        <v>33.704502052999999</v>
      </c>
      <c r="O94" s="79">
        <v>31.465750904</v>
      </c>
      <c r="P94" s="79">
        <v>35.549068841</v>
      </c>
      <c r="Q94" s="79">
        <v>35.428747713</v>
      </c>
      <c r="R94" s="79">
        <v>33.032732559999999</v>
      </c>
      <c r="S94" s="79">
        <v>39.380613736999997</v>
      </c>
      <c r="T94" s="79">
        <v>39.929769176999997</v>
      </c>
    </row>
    <row r="95" spans="1:20" x14ac:dyDescent="0.2">
      <c r="A95" s="11">
        <v>94</v>
      </c>
      <c r="B95" s="11">
        <v>3</v>
      </c>
      <c r="C95" s="12" t="s">
        <v>182</v>
      </c>
      <c r="D95" s="13" t="s">
        <v>183</v>
      </c>
      <c r="E95" s="80">
        <v>3.1460309715000001</v>
      </c>
      <c r="F95" s="80">
        <v>2.7693400653000002</v>
      </c>
      <c r="G95" s="80">
        <v>2.0498828856000002</v>
      </c>
      <c r="H95" s="80">
        <v>0.88419799139999999</v>
      </c>
      <c r="I95" s="80">
        <v>1.4160197011</v>
      </c>
      <c r="J95" s="80">
        <v>3.0876142605000001</v>
      </c>
      <c r="K95" s="80">
        <v>3.0047907199999999</v>
      </c>
      <c r="L95" s="80">
        <v>1.7237084922999999</v>
      </c>
      <c r="M95" s="80">
        <v>3.6306766794000001</v>
      </c>
      <c r="N95" s="80">
        <v>2.0043463100999999</v>
      </c>
      <c r="O95" s="80">
        <v>0.60991661129999997</v>
      </c>
      <c r="P95" s="80">
        <v>1.7052632933</v>
      </c>
      <c r="Q95" s="80">
        <v>1.6276893886999999</v>
      </c>
      <c r="R95" s="80">
        <v>1.6196825253</v>
      </c>
      <c r="S95" s="80">
        <v>1.5256292676000001</v>
      </c>
      <c r="T95" s="80">
        <v>3.2917336671999999</v>
      </c>
    </row>
    <row r="96" spans="1:20" x14ac:dyDescent="0.2">
      <c r="A96" s="11">
        <v>95</v>
      </c>
      <c r="B96" s="11">
        <v>3</v>
      </c>
      <c r="C96" s="12" t="s">
        <v>184</v>
      </c>
      <c r="D96" s="13" t="s">
        <v>185</v>
      </c>
      <c r="E96" s="80">
        <v>7.9868551389000002</v>
      </c>
      <c r="F96" s="80">
        <v>10.969264280999999</v>
      </c>
      <c r="G96" s="80">
        <v>4.9567407478999996</v>
      </c>
      <c r="H96" s="80">
        <v>11.484595214</v>
      </c>
      <c r="I96" s="80">
        <v>5.2220594471000004</v>
      </c>
      <c r="J96" s="80">
        <v>6.2057246226</v>
      </c>
      <c r="K96" s="80">
        <v>10.462270871999999</v>
      </c>
      <c r="L96" s="80">
        <v>6.2363639415999996</v>
      </c>
      <c r="M96" s="80">
        <v>7.3451457154000002</v>
      </c>
      <c r="N96" s="80">
        <v>9.0528190226999996</v>
      </c>
      <c r="O96" s="80">
        <v>7.9097605131000002</v>
      </c>
      <c r="P96" s="80">
        <v>6.0905933462000004</v>
      </c>
      <c r="Q96" s="80">
        <v>7.4031843183000001</v>
      </c>
      <c r="R96" s="80">
        <v>4.2255846734000002</v>
      </c>
      <c r="S96" s="80">
        <v>7.2895624375999999</v>
      </c>
      <c r="T96" s="80">
        <v>5.2548606364000001</v>
      </c>
    </row>
    <row r="97" spans="1:20" x14ac:dyDescent="0.2">
      <c r="A97" s="11">
        <v>96</v>
      </c>
      <c r="B97" s="11">
        <v>3</v>
      </c>
      <c r="C97" s="12" t="s">
        <v>186</v>
      </c>
      <c r="D97" s="13" t="s">
        <v>187</v>
      </c>
      <c r="E97" s="80">
        <v>5.4287987292000004</v>
      </c>
      <c r="F97" s="80">
        <v>6.0153663108000002</v>
      </c>
      <c r="G97" s="80">
        <v>6.171035185</v>
      </c>
      <c r="H97" s="80">
        <v>3.5868646286999999</v>
      </c>
      <c r="I97" s="80">
        <v>6.0284226443</v>
      </c>
      <c r="J97" s="80">
        <v>6.4266768667000003</v>
      </c>
      <c r="K97" s="80">
        <v>2.7099472016999999</v>
      </c>
      <c r="L97" s="80">
        <v>4.1148551695000002</v>
      </c>
      <c r="M97" s="80">
        <v>4.6619047941999998</v>
      </c>
      <c r="N97" s="80">
        <v>4.9711618415999999</v>
      </c>
      <c r="O97" s="80">
        <v>3.9950298962000002</v>
      </c>
      <c r="P97" s="80">
        <v>5.7361119983000002</v>
      </c>
      <c r="Q97" s="80">
        <v>3.0106866578</v>
      </c>
      <c r="R97" s="80">
        <v>3.2421283481000001</v>
      </c>
      <c r="S97" s="80">
        <v>1.9728601648999999</v>
      </c>
      <c r="T97" s="80">
        <v>2.8117689659999998</v>
      </c>
    </row>
    <row r="98" spans="1:20" x14ac:dyDescent="0.2">
      <c r="A98" s="11">
        <v>97</v>
      </c>
      <c r="B98" s="11">
        <v>3</v>
      </c>
      <c r="C98" s="12" t="s">
        <v>188</v>
      </c>
      <c r="D98" s="13" t="s">
        <v>189</v>
      </c>
      <c r="E98" s="80">
        <v>11.96963476</v>
      </c>
      <c r="F98" s="80">
        <v>13.961626216000001</v>
      </c>
      <c r="G98" s="80">
        <v>13.890764805</v>
      </c>
      <c r="H98" s="80">
        <v>15.085540339</v>
      </c>
      <c r="I98" s="80">
        <v>12.103097042</v>
      </c>
      <c r="J98" s="80">
        <v>13.969118954000001</v>
      </c>
      <c r="K98" s="80">
        <v>9.1257030971000006</v>
      </c>
      <c r="L98" s="80">
        <v>16.408013159999999</v>
      </c>
      <c r="M98" s="80">
        <v>8.7008018987</v>
      </c>
      <c r="N98" s="80">
        <v>7.9432076353000003</v>
      </c>
      <c r="O98" s="80">
        <v>12.124641899</v>
      </c>
      <c r="P98" s="80">
        <v>11.036281096</v>
      </c>
      <c r="Q98" s="80">
        <v>13.379295399</v>
      </c>
      <c r="R98" s="80">
        <v>15.426440811999999</v>
      </c>
      <c r="S98" s="80">
        <v>14.489015192</v>
      </c>
      <c r="T98" s="80">
        <v>19.380922673000001</v>
      </c>
    </row>
    <row r="99" spans="1:20" x14ac:dyDescent="0.2">
      <c r="A99" s="11">
        <v>98</v>
      </c>
      <c r="B99" s="11">
        <v>3</v>
      </c>
      <c r="C99" s="12" t="s">
        <v>190</v>
      </c>
      <c r="D99" s="13" t="s">
        <v>191</v>
      </c>
      <c r="E99" s="80">
        <v>8.9920875009000003</v>
      </c>
      <c r="F99" s="80">
        <v>8.8333400599999994</v>
      </c>
      <c r="G99" s="80">
        <v>9.2279072858000006</v>
      </c>
      <c r="H99" s="80">
        <v>9.4771751139999996</v>
      </c>
      <c r="I99" s="80">
        <v>9.4207287867999998</v>
      </c>
      <c r="J99" s="80">
        <v>8.8961886838000002</v>
      </c>
      <c r="K99" s="80">
        <v>9.8304333333000002</v>
      </c>
      <c r="L99" s="80">
        <v>10.05798583</v>
      </c>
      <c r="M99" s="80">
        <v>8.7398527041000005</v>
      </c>
      <c r="N99" s="80">
        <v>7.7113596185000004</v>
      </c>
      <c r="O99" s="80">
        <v>5.6469335752000003</v>
      </c>
      <c r="P99" s="80">
        <v>10.179945102</v>
      </c>
      <c r="Q99" s="80">
        <v>9.5772963373</v>
      </c>
      <c r="R99" s="80">
        <v>8.3341857813000004</v>
      </c>
      <c r="S99" s="80">
        <v>13.583416366</v>
      </c>
      <c r="T99" s="80">
        <v>8.9618743865999999</v>
      </c>
    </row>
    <row r="100" spans="1:20" x14ac:dyDescent="0.2">
      <c r="A100" s="8">
        <v>99</v>
      </c>
      <c r="B100" s="8">
        <v>2</v>
      </c>
      <c r="C100" s="9" t="s">
        <v>192</v>
      </c>
      <c r="D100" s="10" t="s">
        <v>193</v>
      </c>
      <c r="E100" s="79">
        <v>83.232883086000001</v>
      </c>
      <c r="F100" s="79">
        <v>88.637975042999997</v>
      </c>
      <c r="G100" s="79">
        <v>84.597850084000001</v>
      </c>
      <c r="H100" s="79">
        <v>93.902882199999993</v>
      </c>
      <c r="I100" s="79">
        <v>78.589261903999997</v>
      </c>
      <c r="J100" s="79">
        <v>84.967174577999998</v>
      </c>
      <c r="K100" s="79">
        <v>94.546934794999999</v>
      </c>
      <c r="L100" s="79">
        <v>80.280856645</v>
      </c>
      <c r="M100" s="79">
        <v>68.818514383999997</v>
      </c>
      <c r="N100" s="79">
        <v>81.748322602000002</v>
      </c>
      <c r="O100" s="79">
        <v>74.828743875000001</v>
      </c>
      <c r="P100" s="79">
        <v>65.524151708999995</v>
      </c>
      <c r="Q100" s="79">
        <v>59.875232064999999</v>
      </c>
      <c r="R100" s="79">
        <v>59.829150216000002</v>
      </c>
      <c r="S100" s="79">
        <v>71.740632044999998</v>
      </c>
      <c r="T100" s="79">
        <v>67.704413819999999</v>
      </c>
    </row>
    <row r="101" spans="1:20" x14ac:dyDescent="0.2">
      <c r="A101" s="11">
        <v>100</v>
      </c>
      <c r="B101" s="11">
        <v>3</v>
      </c>
      <c r="C101" s="12" t="s">
        <v>194</v>
      </c>
      <c r="D101" s="13" t="s">
        <v>195</v>
      </c>
      <c r="E101" s="80">
        <v>2.3845039304000002</v>
      </c>
      <c r="F101" s="80">
        <v>2.8426038046</v>
      </c>
      <c r="G101" s="80">
        <v>1.9438048654</v>
      </c>
      <c r="H101" s="80">
        <v>3.4966758974999999</v>
      </c>
      <c r="I101" s="80">
        <v>1.0439855522000001</v>
      </c>
      <c r="J101" s="80">
        <v>1.6489838185000001</v>
      </c>
      <c r="K101" s="80">
        <v>1.0427051429</v>
      </c>
      <c r="L101" s="80">
        <v>1.2917917209000001</v>
      </c>
      <c r="M101" s="80">
        <v>0.99172008580000004</v>
      </c>
      <c r="N101" s="80">
        <v>0.64346878569999999</v>
      </c>
      <c r="O101" s="80">
        <v>3.2463073983999999</v>
      </c>
      <c r="P101" s="80">
        <v>2.4385950960999998</v>
      </c>
      <c r="Q101" s="80">
        <v>4.2589328889000004</v>
      </c>
      <c r="R101" s="80">
        <v>2.9365220147</v>
      </c>
      <c r="S101" s="80">
        <v>1.2735157313000001</v>
      </c>
      <c r="T101" s="80">
        <v>3.7203216238999999</v>
      </c>
    </row>
    <row r="102" spans="1:20" x14ac:dyDescent="0.2">
      <c r="A102" s="11">
        <v>101</v>
      </c>
      <c r="B102" s="11">
        <v>3</v>
      </c>
      <c r="C102" s="12" t="s">
        <v>196</v>
      </c>
      <c r="D102" s="13" t="s">
        <v>197</v>
      </c>
      <c r="E102" s="80">
        <v>39.01195894</v>
      </c>
      <c r="F102" s="80">
        <v>45.004762114999998</v>
      </c>
      <c r="G102" s="80">
        <v>40.650897102000002</v>
      </c>
      <c r="H102" s="80">
        <v>43.605121144000002</v>
      </c>
      <c r="I102" s="80">
        <v>36.661357430000002</v>
      </c>
      <c r="J102" s="80">
        <v>41.229335532</v>
      </c>
      <c r="K102" s="80">
        <v>43.024934684999998</v>
      </c>
      <c r="L102" s="80">
        <v>34.826856284999998</v>
      </c>
      <c r="M102" s="80">
        <v>27.928460446999999</v>
      </c>
      <c r="N102" s="80">
        <v>38.731324387999997</v>
      </c>
      <c r="O102" s="80">
        <v>31.824491797</v>
      </c>
      <c r="P102" s="80">
        <v>29.355833447999998</v>
      </c>
      <c r="Q102" s="80">
        <v>26.394676009000001</v>
      </c>
      <c r="R102" s="80">
        <v>24.643260159</v>
      </c>
      <c r="S102" s="80">
        <v>32.853785113000001</v>
      </c>
      <c r="T102" s="80">
        <v>23.844960629999999</v>
      </c>
    </row>
    <row r="103" spans="1:20" x14ac:dyDescent="0.2">
      <c r="A103" s="11">
        <v>102</v>
      </c>
      <c r="B103" s="11">
        <v>3</v>
      </c>
      <c r="C103" s="12" t="s">
        <v>198</v>
      </c>
      <c r="D103" s="13" t="s">
        <v>199</v>
      </c>
      <c r="E103" s="80">
        <v>2.8152280594999999</v>
      </c>
      <c r="F103" s="80">
        <v>3.3115328379000002</v>
      </c>
      <c r="G103" s="80">
        <v>1.9327074941</v>
      </c>
      <c r="H103" s="80">
        <v>4.5537330835000001</v>
      </c>
      <c r="I103" s="80">
        <v>2.0020212750000002</v>
      </c>
      <c r="J103" s="80">
        <v>3.7019140762</v>
      </c>
      <c r="K103" s="80">
        <v>2.2823143867</v>
      </c>
      <c r="L103" s="80">
        <v>2.5930893263999999</v>
      </c>
      <c r="M103" s="80">
        <v>0.4407906271</v>
      </c>
      <c r="N103" s="80">
        <v>2.2544230917000001</v>
      </c>
      <c r="O103" s="80">
        <v>1.7993145594</v>
      </c>
      <c r="P103" s="80">
        <v>3.0749051194999999</v>
      </c>
      <c r="Q103" s="80">
        <v>1.6123877689999999</v>
      </c>
      <c r="R103" s="80">
        <v>3.9037488871999999</v>
      </c>
      <c r="S103" s="80">
        <v>6.1512130264999998</v>
      </c>
      <c r="T103" s="80">
        <v>3.2407800990000002</v>
      </c>
    </row>
    <row r="104" spans="1:20" x14ac:dyDescent="0.2">
      <c r="A104" s="11">
        <v>103</v>
      </c>
      <c r="B104" s="11">
        <v>3</v>
      </c>
      <c r="C104" s="12" t="s">
        <v>200</v>
      </c>
      <c r="D104" s="13" t="s">
        <v>201</v>
      </c>
      <c r="E104" s="80">
        <v>26.812145585</v>
      </c>
      <c r="F104" s="80">
        <v>27.322698725999999</v>
      </c>
      <c r="G104" s="80">
        <v>28.860769325</v>
      </c>
      <c r="H104" s="80">
        <v>30.225702497</v>
      </c>
      <c r="I104" s="80">
        <v>29.916516188999999</v>
      </c>
      <c r="J104" s="80">
        <v>28.399821389</v>
      </c>
      <c r="K104" s="80">
        <v>32.729380521000003</v>
      </c>
      <c r="L104" s="80">
        <v>27.612327877999999</v>
      </c>
      <c r="M104" s="80">
        <v>29.251996556999998</v>
      </c>
      <c r="N104" s="80">
        <v>29.153622351999999</v>
      </c>
      <c r="O104" s="80">
        <v>22.64917208</v>
      </c>
      <c r="P104" s="80">
        <v>21.998036089999999</v>
      </c>
      <c r="Q104" s="80">
        <v>18.435702772999999</v>
      </c>
      <c r="R104" s="80">
        <v>17.626287764000001</v>
      </c>
      <c r="S104" s="80">
        <v>19.746798943999998</v>
      </c>
      <c r="T104" s="80">
        <v>21.592232505999998</v>
      </c>
    </row>
    <row r="105" spans="1:20" x14ac:dyDescent="0.2">
      <c r="A105" s="11">
        <v>104</v>
      </c>
      <c r="B105" s="11">
        <v>3</v>
      </c>
      <c r="C105" s="12" t="s">
        <v>202</v>
      </c>
      <c r="D105" s="13" t="s">
        <v>203</v>
      </c>
      <c r="E105" s="80">
        <v>10.151633258</v>
      </c>
      <c r="F105" s="80">
        <v>7.9093857495000002</v>
      </c>
      <c r="G105" s="80">
        <v>9.0062694141000001</v>
      </c>
      <c r="H105" s="80">
        <v>9.8821366707999996</v>
      </c>
      <c r="I105" s="80">
        <v>6.9682454985</v>
      </c>
      <c r="J105" s="80">
        <v>8.4378514155000008</v>
      </c>
      <c r="K105" s="80">
        <v>13.611071959</v>
      </c>
      <c r="L105" s="80">
        <v>12.497077549</v>
      </c>
      <c r="M105" s="80">
        <v>8.8358711963999994</v>
      </c>
      <c r="N105" s="80">
        <v>8.9783165380999996</v>
      </c>
      <c r="O105" s="80">
        <v>13.325580553</v>
      </c>
      <c r="P105" s="80">
        <v>6.8582216966000003</v>
      </c>
      <c r="Q105" s="80">
        <v>7.6950349776999998</v>
      </c>
      <c r="R105" s="80">
        <v>9.3642041599999999</v>
      </c>
      <c r="S105" s="80">
        <v>9.5614528271000001</v>
      </c>
      <c r="T105" s="80">
        <v>13.695326695</v>
      </c>
    </row>
    <row r="106" spans="1:20" x14ac:dyDescent="0.2">
      <c r="A106" s="8">
        <v>105</v>
      </c>
      <c r="B106" s="8">
        <v>2</v>
      </c>
      <c r="C106" s="9" t="s">
        <v>204</v>
      </c>
      <c r="D106" s="10" t="s">
        <v>205</v>
      </c>
      <c r="E106" s="79">
        <v>62.217038250000002</v>
      </c>
      <c r="F106" s="79">
        <v>74.492155749000005</v>
      </c>
      <c r="G106" s="79">
        <v>64.481339904999999</v>
      </c>
      <c r="H106" s="79">
        <v>70.983494172999997</v>
      </c>
      <c r="I106" s="79">
        <v>75.927722365999998</v>
      </c>
      <c r="J106" s="79">
        <v>62.960754262999998</v>
      </c>
      <c r="K106" s="79">
        <v>51.654368001000002</v>
      </c>
      <c r="L106" s="79">
        <v>51.168855419000003</v>
      </c>
      <c r="M106" s="79">
        <v>48.776630822999998</v>
      </c>
      <c r="N106" s="79">
        <v>53.070969122999998</v>
      </c>
      <c r="O106" s="79">
        <v>44.830995784999999</v>
      </c>
      <c r="P106" s="79">
        <v>64.729374683000003</v>
      </c>
      <c r="Q106" s="79">
        <v>68.572474701999994</v>
      </c>
      <c r="R106" s="79">
        <v>79.119374257999993</v>
      </c>
      <c r="S106" s="79">
        <v>69.873046522999999</v>
      </c>
      <c r="T106" s="79">
        <v>59.442566665000001</v>
      </c>
    </row>
    <row r="107" spans="1:20" x14ac:dyDescent="0.2">
      <c r="A107" s="11">
        <v>106</v>
      </c>
      <c r="B107" s="11">
        <v>3</v>
      </c>
      <c r="C107" s="12" t="s">
        <v>206</v>
      </c>
      <c r="D107" s="13" t="s">
        <v>207</v>
      </c>
      <c r="E107" s="80">
        <v>1.0714338664</v>
      </c>
      <c r="F107" s="80">
        <v>1.4417275198999999</v>
      </c>
      <c r="G107" s="80">
        <v>0.54768648949999998</v>
      </c>
      <c r="H107" s="80">
        <v>0.67723749470000005</v>
      </c>
      <c r="I107" s="80">
        <v>2.5633847648999999</v>
      </c>
      <c r="J107" s="80">
        <v>1.0520645893</v>
      </c>
      <c r="K107" s="80">
        <v>0.78564901939999998</v>
      </c>
      <c r="L107" s="80">
        <v>0.4394627539</v>
      </c>
      <c r="M107" s="80">
        <v>1.0132225657</v>
      </c>
      <c r="N107" s="80">
        <v>0.71958996239999995</v>
      </c>
      <c r="O107" s="80">
        <v>2.6169779430000002</v>
      </c>
      <c r="P107" s="80">
        <v>1.6383243675000001</v>
      </c>
      <c r="Q107" s="80">
        <v>1.4923764739000001</v>
      </c>
      <c r="R107" s="80">
        <v>4.6280035986000003</v>
      </c>
      <c r="S107" s="80">
        <v>1.5280964227</v>
      </c>
      <c r="T107" s="80">
        <v>5.9067664313000003</v>
      </c>
    </row>
    <row r="108" spans="1:20" x14ac:dyDescent="0.2">
      <c r="A108" s="11">
        <v>107</v>
      </c>
      <c r="B108" s="11">
        <v>3</v>
      </c>
      <c r="C108" s="12" t="s">
        <v>208</v>
      </c>
      <c r="D108" s="13" t="s">
        <v>209</v>
      </c>
      <c r="E108" s="80">
        <v>9.3987232700000006E-2</v>
      </c>
      <c r="F108" s="80">
        <v>9.2952110700000007E-2</v>
      </c>
      <c r="G108" s="80">
        <v>0.29125149589999999</v>
      </c>
      <c r="H108" s="80">
        <v>1.1868439774999999</v>
      </c>
      <c r="I108" s="80">
        <v>0.36175599749999998</v>
      </c>
      <c r="J108" s="80">
        <v>8.5677803100000005E-2</v>
      </c>
      <c r="K108" s="80">
        <v>8.5391387400000004E-2</v>
      </c>
      <c r="L108" s="80">
        <v>8.7193740300000003E-2</v>
      </c>
      <c r="M108" s="80">
        <v>0.29877422199999998</v>
      </c>
      <c r="N108" s="80">
        <v>0.91658212080000001</v>
      </c>
      <c r="O108" s="80">
        <v>8.7054964700000001E-2</v>
      </c>
      <c r="P108" s="80">
        <v>8.4428214200000004E-2</v>
      </c>
      <c r="Q108" s="80">
        <v>0.85257613850000002</v>
      </c>
      <c r="R108" s="80">
        <v>0.98042723070000004</v>
      </c>
      <c r="S108" s="80">
        <v>0.43945543990000002</v>
      </c>
      <c r="T108" s="80">
        <v>0.90663731219999999</v>
      </c>
    </row>
    <row r="109" spans="1:20" x14ac:dyDescent="0.2">
      <c r="A109" s="11">
        <v>108</v>
      </c>
      <c r="B109" s="11">
        <v>3</v>
      </c>
      <c r="C109" s="12" t="s">
        <v>210</v>
      </c>
      <c r="D109" s="13" t="s">
        <v>211</v>
      </c>
      <c r="E109" s="80">
        <v>25.575342170999999</v>
      </c>
      <c r="F109" s="80">
        <v>32.475044595999996</v>
      </c>
      <c r="G109" s="80">
        <v>23.225703382999999</v>
      </c>
      <c r="H109" s="80">
        <v>26.418377323000001</v>
      </c>
      <c r="I109" s="80">
        <v>29.322759286</v>
      </c>
      <c r="J109" s="80">
        <v>29.240631777000001</v>
      </c>
      <c r="K109" s="80">
        <v>23.784824161</v>
      </c>
      <c r="L109" s="80">
        <v>22.855691372999999</v>
      </c>
      <c r="M109" s="80">
        <v>19.497842058</v>
      </c>
      <c r="N109" s="80">
        <v>22.114680688</v>
      </c>
      <c r="O109" s="80">
        <v>15.478581067</v>
      </c>
      <c r="P109" s="80">
        <v>30.525298528</v>
      </c>
      <c r="Q109" s="80">
        <v>30.27813308</v>
      </c>
      <c r="R109" s="80">
        <v>37.566286961000003</v>
      </c>
      <c r="S109" s="80">
        <v>37.032601565999997</v>
      </c>
      <c r="T109" s="80">
        <v>23.891672508999999</v>
      </c>
    </row>
    <row r="110" spans="1:20" x14ac:dyDescent="0.2">
      <c r="A110" s="11">
        <v>109</v>
      </c>
      <c r="B110" s="11">
        <v>3</v>
      </c>
      <c r="C110" s="12" t="s">
        <v>212</v>
      </c>
      <c r="D110" s="13" t="s">
        <v>213</v>
      </c>
      <c r="E110" s="80">
        <v>6.7575865539000004</v>
      </c>
      <c r="F110" s="80">
        <v>7.9962193476000003</v>
      </c>
      <c r="G110" s="80">
        <v>8.2062288906000003</v>
      </c>
      <c r="H110" s="80">
        <v>9.4806489359999997</v>
      </c>
      <c r="I110" s="80">
        <v>10.138402621999999</v>
      </c>
      <c r="J110" s="80">
        <v>5.3528703105000002</v>
      </c>
      <c r="K110" s="80">
        <v>5.3792635455999998</v>
      </c>
      <c r="L110" s="80">
        <v>4.7090163164999996</v>
      </c>
      <c r="M110" s="80">
        <v>8.9418648621999992</v>
      </c>
      <c r="N110" s="80">
        <v>5.3141616580999997</v>
      </c>
      <c r="O110" s="80">
        <v>8.1351491183999993</v>
      </c>
      <c r="P110" s="80">
        <v>10.537135541</v>
      </c>
      <c r="Q110" s="80">
        <v>6.8251138468999999</v>
      </c>
      <c r="R110" s="80">
        <v>10.840333956</v>
      </c>
      <c r="S110" s="80">
        <v>7.0065680668999999</v>
      </c>
      <c r="T110" s="80">
        <v>7.7058546093000002</v>
      </c>
    </row>
    <row r="111" spans="1:20" x14ac:dyDescent="0.2">
      <c r="A111" s="11">
        <v>110</v>
      </c>
      <c r="B111" s="11">
        <v>3</v>
      </c>
      <c r="C111" s="12" t="s">
        <v>214</v>
      </c>
      <c r="D111" s="13" t="s">
        <v>215</v>
      </c>
      <c r="E111" s="80">
        <v>1.3888064352</v>
      </c>
      <c r="F111" s="80">
        <v>1.9064253814000001</v>
      </c>
      <c r="G111" s="80">
        <v>1.5905531130999999</v>
      </c>
      <c r="H111" s="80">
        <v>1.3765495503</v>
      </c>
      <c r="I111" s="80">
        <v>2.2297537048999998</v>
      </c>
      <c r="J111" s="80">
        <v>1.1709267452000001</v>
      </c>
      <c r="K111" s="80">
        <v>0.84584098890000003</v>
      </c>
      <c r="L111" s="80">
        <v>0.79057126069999994</v>
      </c>
      <c r="M111" s="80">
        <v>0.56136995690000002</v>
      </c>
      <c r="N111" s="80">
        <v>2.0482251416000001</v>
      </c>
      <c r="O111" s="80">
        <v>0.8444412241</v>
      </c>
      <c r="P111" s="80">
        <v>0.89377514130000002</v>
      </c>
      <c r="Q111" s="80">
        <v>3.5063101484999999</v>
      </c>
      <c r="R111" s="80">
        <v>3.4933761862999999</v>
      </c>
      <c r="S111" s="80">
        <v>1.2892233896</v>
      </c>
      <c r="T111" s="80">
        <v>1.7642769294</v>
      </c>
    </row>
    <row r="112" spans="1:20" x14ac:dyDescent="0.2">
      <c r="A112" s="11">
        <v>111</v>
      </c>
      <c r="B112" s="11">
        <v>3</v>
      </c>
      <c r="C112" s="12" t="s">
        <v>216</v>
      </c>
      <c r="D112" s="13" t="s">
        <v>217</v>
      </c>
      <c r="E112" s="80">
        <v>28.419162166</v>
      </c>
      <c r="F112" s="80">
        <v>32.115080652000003</v>
      </c>
      <c r="G112" s="80">
        <v>31.921224951999999</v>
      </c>
      <c r="H112" s="80">
        <v>32.726511017</v>
      </c>
      <c r="I112" s="80">
        <v>31.672285961</v>
      </c>
      <c r="J112" s="80">
        <v>26.272945268000001</v>
      </c>
      <c r="K112" s="80">
        <v>21.12523844</v>
      </c>
      <c r="L112" s="80">
        <v>22.908521360999998</v>
      </c>
      <c r="M112" s="80">
        <v>19.825566086999999</v>
      </c>
      <c r="N112" s="80">
        <v>22.931638877000001</v>
      </c>
      <c r="O112" s="80">
        <v>19.585952950999999</v>
      </c>
      <c r="P112" s="80">
        <v>22.968458769000001</v>
      </c>
      <c r="Q112" s="80">
        <v>26.551045576</v>
      </c>
      <c r="R112" s="80">
        <v>23.908488993999999</v>
      </c>
      <c r="S112" s="80">
        <v>23.738745073</v>
      </c>
      <c r="T112" s="80">
        <v>21.630936106</v>
      </c>
    </row>
    <row r="113" spans="1:20" x14ac:dyDescent="0.2">
      <c r="A113" s="8">
        <v>112</v>
      </c>
      <c r="B113" s="8">
        <v>2</v>
      </c>
      <c r="C113" s="9" t="s">
        <v>218</v>
      </c>
      <c r="D113" s="10" t="s">
        <v>219</v>
      </c>
      <c r="E113" s="79">
        <v>99.711415239999994</v>
      </c>
      <c r="F113" s="79">
        <v>105.57509054000001</v>
      </c>
      <c r="G113" s="79">
        <v>106.54065405</v>
      </c>
      <c r="H113" s="79">
        <v>101.30500292000001</v>
      </c>
      <c r="I113" s="79">
        <v>86.530697762000003</v>
      </c>
      <c r="J113" s="79">
        <v>82.057566441999995</v>
      </c>
      <c r="K113" s="79">
        <v>90.717169518000006</v>
      </c>
      <c r="L113" s="79">
        <v>82.458511904999995</v>
      </c>
      <c r="M113" s="79">
        <v>68.476774491</v>
      </c>
      <c r="N113" s="79">
        <v>84.205795745000003</v>
      </c>
      <c r="O113" s="79">
        <v>78.019956065000002</v>
      </c>
      <c r="P113" s="79">
        <v>69.644261567000001</v>
      </c>
      <c r="Q113" s="79">
        <v>78.136590755</v>
      </c>
      <c r="R113" s="79">
        <v>66.612543518999999</v>
      </c>
      <c r="S113" s="79">
        <v>64.915005374000003</v>
      </c>
      <c r="T113" s="79">
        <v>70.059998632000003</v>
      </c>
    </row>
    <row r="114" spans="1:20" x14ac:dyDescent="0.2">
      <c r="A114" s="11">
        <v>113</v>
      </c>
      <c r="B114" s="11">
        <v>3</v>
      </c>
      <c r="C114" s="12" t="s">
        <v>220</v>
      </c>
      <c r="D114" s="13" t="s">
        <v>221</v>
      </c>
      <c r="E114" s="80">
        <v>0.88618895679999998</v>
      </c>
      <c r="F114" s="80">
        <v>1.3411363965</v>
      </c>
      <c r="G114" s="80">
        <v>1.9631096846</v>
      </c>
      <c r="H114" s="80">
        <v>1.3874688046000001</v>
      </c>
      <c r="I114" s="80">
        <v>1.3068130069999999</v>
      </c>
      <c r="J114" s="80">
        <v>1.2758082997</v>
      </c>
      <c r="K114" s="80">
        <v>2.8652894003</v>
      </c>
      <c r="L114" s="80">
        <v>1.1111592588999999</v>
      </c>
      <c r="M114" s="80">
        <v>2.8989461355000001</v>
      </c>
      <c r="N114" s="80">
        <v>0.1179853488</v>
      </c>
      <c r="O114" s="80">
        <v>0.1174833278</v>
      </c>
      <c r="P114" s="80">
        <v>0.60065849309999997</v>
      </c>
      <c r="Q114" s="80">
        <v>1.9018237105</v>
      </c>
      <c r="R114" s="80">
        <v>0.50231209489999995</v>
      </c>
      <c r="S114" s="80">
        <v>0.1028063665</v>
      </c>
      <c r="T114" s="80">
        <v>0.18199179560000001</v>
      </c>
    </row>
    <row r="115" spans="1:20" x14ac:dyDescent="0.2">
      <c r="A115" s="11">
        <v>114</v>
      </c>
      <c r="B115" s="11">
        <v>3</v>
      </c>
      <c r="C115" s="12" t="s">
        <v>222</v>
      </c>
      <c r="D115" s="13" t="s">
        <v>223</v>
      </c>
      <c r="E115" s="80">
        <v>68.169177453000003</v>
      </c>
      <c r="F115" s="80">
        <v>73.295768339000006</v>
      </c>
      <c r="G115" s="80">
        <v>69.161577683999994</v>
      </c>
      <c r="H115" s="80">
        <v>62.984982447</v>
      </c>
      <c r="I115" s="80">
        <v>46.940953639999996</v>
      </c>
      <c r="J115" s="80">
        <v>52.175686644999999</v>
      </c>
      <c r="K115" s="80">
        <v>51.360728407000003</v>
      </c>
      <c r="L115" s="80">
        <v>51.869487626000002</v>
      </c>
      <c r="M115" s="80">
        <v>36.804395131</v>
      </c>
      <c r="N115" s="80">
        <v>53.401642500000001</v>
      </c>
      <c r="O115" s="80">
        <v>50.022054734999998</v>
      </c>
      <c r="P115" s="80">
        <v>35.913906760000003</v>
      </c>
      <c r="Q115" s="80">
        <v>45.035955543</v>
      </c>
      <c r="R115" s="80">
        <v>31.024929132</v>
      </c>
      <c r="S115" s="80">
        <v>38.600463468999997</v>
      </c>
      <c r="T115" s="80">
        <v>36.633029258000001</v>
      </c>
    </row>
    <row r="116" spans="1:20" x14ac:dyDescent="0.2">
      <c r="A116" s="11">
        <v>115</v>
      </c>
      <c r="B116" s="11">
        <v>3</v>
      </c>
      <c r="C116" s="12" t="s">
        <v>224</v>
      </c>
      <c r="D116" s="13" t="s">
        <v>225</v>
      </c>
      <c r="E116" s="80">
        <v>30.951853844999999</v>
      </c>
      <c r="F116" s="80">
        <v>30.812078767999999</v>
      </c>
      <c r="G116" s="80">
        <v>34.980897118999998</v>
      </c>
      <c r="H116" s="80">
        <v>36.772526524</v>
      </c>
      <c r="I116" s="80">
        <v>38.395981679999998</v>
      </c>
      <c r="J116" s="80">
        <v>28.805198376</v>
      </c>
      <c r="K116" s="80">
        <v>36.852952264000002</v>
      </c>
      <c r="L116" s="80">
        <v>29.768751568999999</v>
      </c>
      <c r="M116" s="80">
        <v>29.111086234999998</v>
      </c>
      <c r="N116" s="80">
        <v>30.122485427000001</v>
      </c>
      <c r="O116" s="80">
        <v>26.802331206000002</v>
      </c>
      <c r="P116" s="80">
        <v>32.243150706000002</v>
      </c>
      <c r="Q116" s="80">
        <v>29.975613861999999</v>
      </c>
      <c r="R116" s="80">
        <v>34.419691145999998</v>
      </c>
      <c r="S116" s="80">
        <v>25.57263931</v>
      </c>
      <c r="T116" s="80">
        <v>32.784960845999997</v>
      </c>
    </row>
    <row r="117" spans="1:20" x14ac:dyDescent="0.2">
      <c r="A117" s="8">
        <v>116</v>
      </c>
      <c r="B117" s="8">
        <v>2</v>
      </c>
      <c r="C117" s="9" t="s">
        <v>226</v>
      </c>
      <c r="D117" s="10" t="s">
        <v>227</v>
      </c>
      <c r="E117" s="79">
        <v>96.098914164000007</v>
      </c>
      <c r="F117" s="79">
        <v>112.79848615</v>
      </c>
      <c r="G117" s="79">
        <v>114.43571736</v>
      </c>
      <c r="H117" s="79">
        <v>108.34671424</v>
      </c>
      <c r="I117" s="79">
        <v>121.65145101</v>
      </c>
      <c r="J117" s="79">
        <v>118.94864568</v>
      </c>
      <c r="K117" s="79">
        <v>103.99987062</v>
      </c>
      <c r="L117" s="79">
        <v>120.19277889999999</v>
      </c>
      <c r="M117" s="79">
        <v>128.28642735</v>
      </c>
      <c r="N117" s="79">
        <v>108.03729833</v>
      </c>
      <c r="O117" s="79">
        <v>110.06820836999999</v>
      </c>
      <c r="P117" s="79">
        <v>126.49184993999999</v>
      </c>
      <c r="Q117" s="79">
        <v>96.011580936000001</v>
      </c>
      <c r="R117" s="79">
        <v>131.98471504</v>
      </c>
      <c r="S117" s="79">
        <v>121.46400361000001</v>
      </c>
      <c r="T117" s="79">
        <v>115.00355069</v>
      </c>
    </row>
    <row r="118" spans="1:20" x14ac:dyDescent="0.2">
      <c r="A118" s="11">
        <v>117</v>
      </c>
      <c r="B118" s="11">
        <v>3</v>
      </c>
      <c r="C118" s="12" t="s">
        <v>228</v>
      </c>
      <c r="D118" s="13" t="s">
        <v>229</v>
      </c>
      <c r="E118" s="80">
        <v>10.45591596</v>
      </c>
      <c r="F118" s="80">
        <v>13.291385277</v>
      </c>
      <c r="G118" s="80">
        <v>13.102879178</v>
      </c>
      <c r="H118" s="80">
        <v>10.903612644000001</v>
      </c>
      <c r="I118" s="80">
        <v>11.937851492</v>
      </c>
      <c r="J118" s="80">
        <v>15.093273083</v>
      </c>
      <c r="K118" s="80">
        <v>17.496810566000001</v>
      </c>
      <c r="L118" s="80">
        <v>18.124880625999999</v>
      </c>
      <c r="M118" s="80">
        <v>16.444301177</v>
      </c>
      <c r="N118" s="80">
        <v>11.687118598</v>
      </c>
      <c r="O118" s="80">
        <v>10.848527082</v>
      </c>
      <c r="P118" s="80">
        <v>19.366059750000002</v>
      </c>
      <c r="Q118" s="80">
        <v>8.2064505277999995</v>
      </c>
      <c r="R118" s="80">
        <v>8.6298273510999994</v>
      </c>
      <c r="S118" s="80">
        <v>8.8344925314000005</v>
      </c>
      <c r="T118" s="80">
        <v>6.3533591199000004</v>
      </c>
    </row>
    <row r="119" spans="1:20" x14ac:dyDescent="0.2">
      <c r="A119" s="11">
        <v>118</v>
      </c>
      <c r="B119" s="11">
        <v>3</v>
      </c>
      <c r="C119" s="12" t="s">
        <v>230</v>
      </c>
      <c r="D119" s="13" t="s">
        <v>231</v>
      </c>
      <c r="E119" s="80">
        <v>12.027920914999999</v>
      </c>
      <c r="F119" s="80">
        <v>14.497127232</v>
      </c>
      <c r="G119" s="80">
        <v>14.014591641999999</v>
      </c>
      <c r="H119" s="80">
        <v>20.350615446999999</v>
      </c>
      <c r="I119" s="80">
        <v>18.129834101</v>
      </c>
      <c r="J119" s="80">
        <v>24.321073388999999</v>
      </c>
      <c r="K119" s="80">
        <v>16.028787696999999</v>
      </c>
      <c r="L119" s="80">
        <v>13.728429943</v>
      </c>
      <c r="M119" s="80">
        <v>19.733573002</v>
      </c>
      <c r="N119" s="80">
        <v>19.585946010000001</v>
      </c>
      <c r="O119" s="80">
        <v>16.739744335000001</v>
      </c>
      <c r="P119" s="80">
        <v>26.068578882000001</v>
      </c>
      <c r="Q119" s="80">
        <v>15.958790164</v>
      </c>
      <c r="R119" s="80">
        <v>19.319682612000001</v>
      </c>
      <c r="S119" s="80">
        <v>24.150380885000001</v>
      </c>
      <c r="T119" s="80">
        <v>19.960978188999999</v>
      </c>
    </row>
    <row r="120" spans="1:20" x14ac:dyDescent="0.2">
      <c r="A120" s="11">
        <v>119</v>
      </c>
      <c r="B120" s="11">
        <v>3</v>
      </c>
      <c r="C120" s="12" t="s">
        <v>232</v>
      </c>
      <c r="D120" s="13" t="s">
        <v>233</v>
      </c>
      <c r="E120" s="80">
        <v>21.444776117</v>
      </c>
      <c r="F120" s="80">
        <v>20.287267858</v>
      </c>
      <c r="G120" s="80">
        <v>23.009110740000001</v>
      </c>
      <c r="H120" s="80">
        <v>16.954557678</v>
      </c>
      <c r="I120" s="80">
        <v>29.550975505</v>
      </c>
      <c r="J120" s="80">
        <v>16.294760805999999</v>
      </c>
      <c r="K120" s="80">
        <v>15.104756828999999</v>
      </c>
      <c r="L120" s="80">
        <v>15.594317686</v>
      </c>
      <c r="M120" s="80">
        <v>21.1993461</v>
      </c>
      <c r="N120" s="80">
        <v>17.362778798000001</v>
      </c>
      <c r="O120" s="80">
        <v>13.825176931</v>
      </c>
      <c r="P120" s="80">
        <v>17.400370827</v>
      </c>
      <c r="Q120" s="80">
        <v>12.854940573</v>
      </c>
      <c r="R120" s="80">
        <v>15.777045712</v>
      </c>
      <c r="S120" s="80">
        <v>14.661490175999999</v>
      </c>
      <c r="T120" s="80">
        <v>12.001860925000001</v>
      </c>
    </row>
    <row r="121" spans="1:20" x14ac:dyDescent="0.2">
      <c r="A121" s="11">
        <v>120</v>
      </c>
      <c r="B121" s="11">
        <v>3</v>
      </c>
      <c r="C121" s="12" t="s">
        <v>234</v>
      </c>
      <c r="D121" s="13" t="s">
        <v>235</v>
      </c>
      <c r="E121" s="80">
        <v>15.785036929</v>
      </c>
      <c r="F121" s="80">
        <v>15.310185965000001</v>
      </c>
      <c r="G121" s="80">
        <v>18.061113041999999</v>
      </c>
      <c r="H121" s="80">
        <v>13.887382214000001</v>
      </c>
      <c r="I121" s="80">
        <v>13.663041149</v>
      </c>
      <c r="J121" s="80">
        <v>18.587897498</v>
      </c>
      <c r="K121" s="80">
        <v>12.407779735</v>
      </c>
      <c r="L121" s="80">
        <v>14.270211979000001</v>
      </c>
      <c r="M121" s="80">
        <v>18.074449689000001</v>
      </c>
      <c r="N121" s="80">
        <v>15.449738803000001</v>
      </c>
      <c r="O121" s="80">
        <v>13.979339816</v>
      </c>
      <c r="P121" s="80">
        <v>13.447176469</v>
      </c>
      <c r="Q121" s="80">
        <v>10.826795758999999</v>
      </c>
      <c r="R121" s="80">
        <v>20.650152223999999</v>
      </c>
      <c r="S121" s="80">
        <v>15.836036435</v>
      </c>
      <c r="T121" s="80">
        <v>14.949553226999999</v>
      </c>
    </row>
    <row r="122" spans="1:20" x14ac:dyDescent="0.2">
      <c r="A122" s="11">
        <v>121</v>
      </c>
      <c r="B122" s="11">
        <v>3</v>
      </c>
      <c r="C122" s="12" t="s">
        <v>236</v>
      </c>
      <c r="D122" s="13" t="s">
        <v>237</v>
      </c>
      <c r="E122" s="80">
        <v>6.7953417965999998</v>
      </c>
      <c r="F122" s="80">
        <v>6.5170883490999998</v>
      </c>
      <c r="G122" s="80">
        <v>7.1685901528000002</v>
      </c>
      <c r="H122" s="80">
        <v>6.6421900226000004</v>
      </c>
      <c r="I122" s="80">
        <v>9.1459148696000003</v>
      </c>
      <c r="J122" s="80">
        <v>5.2666727191999998</v>
      </c>
      <c r="K122" s="80">
        <v>5.1514730675999996</v>
      </c>
      <c r="L122" s="80">
        <v>6.3767467004</v>
      </c>
      <c r="M122" s="80">
        <v>4.1177400025999997</v>
      </c>
      <c r="N122" s="80">
        <v>4.4204251522</v>
      </c>
      <c r="O122" s="80">
        <v>3.1343057853</v>
      </c>
      <c r="P122" s="80">
        <v>5.5109753576999996</v>
      </c>
      <c r="Q122" s="80">
        <v>7.2528133291000003</v>
      </c>
      <c r="R122" s="80">
        <v>6.6961254390000002</v>
      </c>
      <c r="S122" s="80">
        <v>10.622357359</v>
      </c>
      <c r="T122" s="80">
        <v>4.6412533333999999</v>
      </c>
    </row>
    <row r="123" spans="1:20" x14ac:dyDescent="0.2">
      <c r="A123" s="11">
        <v>122</v>
      </c>
      <c r="B123" s="11">
        <v>3</v>
      </c>
      <c r="C123" s="12" t="s">
        <v>238</v>
      </c>
      <c r="D123" s="13" t="s">
        <v>239</v>
      </c>
      <c r="E123" s="80">
        <v>3.0318791350000001</v>
      </c>
      <c r="F123" s="80">
        <v>4.4012817573999996</v>
      </c>
      <c r="G123" s="80">
        <v>6.0350947359999996</v>
      </c>
      <c r="H123" s="80">
        <v>5.0185711003</v>
      </c>
      <c r="I123" s="80">
        <v>4.6593277909999999</v>
      </c>
      <c r="J123" s="80">
        <v>6.5454179604</v>
      </c>
      <c r="K123" s="80">
        <v>3.4139205347999999</v>
      </c>
      <c r="L123" s="80">
        <v>5.4454910137999999</v>
      </c>
      <c r="M123" s="80">
        <v>6.6773163988000004</v>
      </c>
      <c r="N123" s="80">
        <v>4.0726951135</v>
      </c>
      <c r="O123" s="80">
        <v>5.9638633607999996</v>
      </c>
      <c r="P123" s="80">
        <v>7.2929974477000004</v>
      </c>
      <c r="Q123" s="80">
        <v>5.7039524877999996</v>
      </c>
      <c r="R123" s="80">
        <v>6.3409757112999996</v>
      </c>
      <c r="S123" s="80">
        <v>4.8747699445999997</v>
      </c>
      <c r="T123" s="80">
        <v>7.6085663392000003</v>
      </c>
    </row>
    <row r="124" spans="1:20" x14ac:dyDescent="0.2">
      <c r="A124" s="11">
        <v>123</v>
      </c>
      <c r="B124" s="11">
        <v>3</v>
      </c>
      <c r="C124" s="12" t="s">
        <v>240</v>
      </c>
      <c r="D124" s="13" t="s">
        <v>241</v>
      </c>
      <c r="E124" s="80">
        <v>15.422456985</v>
      </c>
      <c r="F124" s="80">
        <v>22.415676662999999</v>
      </c>
      <c r="G124" s="80">
        <v>18.99669694</v>
      </c>
      <c r="H124" s="80">
        <v>19.443964419</v>
      </c>
      <c r="I124" s="80">
        <v>20.694189090999998</v>
      </c>
      <c r="J124" s="80">
        <v>19.720745636</v>
      </c>
      <c r="K124" s="80">
        <v>23.944047259000001</v>
      </c>
      <c r="L124" s="80">
        <v>33.655307014000002</v>
      </c>
      <c r="M124" s="80">
        <v>29.070822839000002</v>
      </c>
      <c r="N124" s="80">
        <v>23.672308262000001</v>
      </c>
      <c r="O124" s="80">
        <v>25.795217256000001</v>
      </c>
      <c r="P124" s="80">
        <v>19.913092925000001</v>
      </c>
      <c r="Q124" s="80">
        <v>19.220026834999999</v>
      </c>
      <c r="R124" s="80">
        <v>31.075005472000001</v>
      </c>
      <c r="S124" s="80">
        <v>20.866125553</v>
      </c>
      <c r="T124" s="80">
        <v>30.54548205</v>
      </c>
    </row>
    <row r="125" spans="1:20" x14ac:dyDescent="0.2">
      <c r="A125" s="11">
        <v>124</v>
      </c>
      <c r="B125" s="11">
        <v>3</v>
      </c>
      <c r="C125" s="12" t="s">
        <v>242</v>
      </c>
      <c r="D125" s="13" t="s">
        <v>243</v>
      </c>
      <c r="E125" s="80">
        <v>12.167519260000001</v>
      </c>
      <c r="F125" s="80">
        <v>17.592370789</v>
      </c>
      <c r="G125" s="80">
        <v>15.99759867</v>
      </c>
      <c r="H125" s="80">
        <v>17.177272076000001</v>
      </c>
      <c r="I125" s="80">
        <v>16.735285905000001</v>
      </c>
      <c r="J125" s="80">
        <v>16.025433796000002</v>
      </c>
      <c r="K125" s="80">
        <v>12.496817718000001</v>
      </c>
      <c r="L125" s="80">
        <v>14.533322715000001</v>
      </c>
      <c r="M125" s="80">
        <v>14.423585612</v>
      </c>
      <c r="N125" s="80">
        <v>12.810763719000001</v>
      </c>
      <c r="O125" s="80">
        <v>20.998316008</v>
      </c>
      <c r="P125" s="80">
        <v>18.674575704999999</v>
      </c>
      <c r="Q125" s="80">
        <v>16.581233788999999</v>
      </c>
      <c r="R125" s="80">
        <v>25.275526402000001</v>
      </c>
      <c r="S125" s="80">
        <v>23.546908741999999</v>
      </c>
      <c r="T125" s="80">
        <v>19.872762046999998</v>
      </c>
    </row>
    <row r="126" spans="1:20" x14ac:dyDescent="0.2">
      <c r="A126" s="8">
        <v>125</v>
      </c>
      <c r="B126" s="8">
        <v>2</v>
      </c>
      <c r="C126" s="9" t="s">
        <v>244</v>
      </c>
      <c r="D126" s="10" t="s">
        <v>245</v>
      </c>
      <c r="E126" s="79">
        <v>66.232338566999999</v>
      </c>
      <c r="F126" s="79">
        <v>63.952707500999999</v>
      </c>
      <c r="G126" s="79">
        <v>51.390900330000001</v>
      </c>
      <c r="H126" s="79">
        <v>64.506408897</v>
      </c>
      <c r="I126" s="79">
        <v>67.960484558000005</v>
      </c>
      <c r="J126" s="79">
        <v>65.217923677000002</v>
      </c>
      <c r="K126" s="79">
        <v>50.181398829000003</v>
      </c>
      <c r="L126" s="79">
        <v>52.793668429</v>
      </c>
      <c r="M126" s="79">
        <v>50.199083725999998</v>
      </c>
      <c r="N126" s="79">
        <v>58.560447693999997</v>
      </c>
      <c r="O126" s="79">
        <v>49.565096859999997</v>
      </c>
      <c r="P126" s="79">
        <v>59.835274267999999</v>
      </c>
      <c r="Q126" s="79">
        <v>77.356854237999997</v>
      </c>
      <c r="R126" s="79">
        <v>69.562891406000006</v>
      </c>
      <c r="S126" s="79">
        <v>66.738890850000004</v>
      </c>
      <c r="T126" s="79">
        <v>69.917033373999999</v>
      </c>
    </row>
    <row r="127" spans="1:20" x14ac:dyDescent="0.2">
      <c r="A127" s="11">
        <v>126</v>
      </c>
      <c r="B127" s="11">
        <v>3</v>
      </c>
      <c r="C127" s="12" t="s">
        <v>246</v>
      </c>
      <c r="D127" s="13" t="s">
        <v>247</v>
      </c>
      <c r="E127" s="80">
        <v>9.9831183099999998E-2</v>
      </c>
      <c r="F127" s="80">
        <v>9.9874178199999997E-2</v>
      </c>
      <c r="G127" s="80">
        <v>9.9955795E-2</v>
      </c>
      <c r="H127" s="80">
        <v>0.1015659901</v>
      </c>
      <c r="I127" s="80">
        <v>0.10222250989999999</v>
      </c>
      <c r="J127" s="80">
        <v>0.1045180077</v>
      </c>
      <c r="K127" s="80">
        <v>0.1033706685</v>
      </c>
      <c r="L127" s="80">
        <v>0.10328427580000001</v>
      </c>
      <c r="M127" s="80">
        <v>0.1011606296</v>
      </c>
      <c r="N127" s="80">
        <v>0.10226428410000001</v>
      </c>
      <c r="O127" s="80">
        <v>0.1053695634</v>
      </c>
      <c r="P127" s="80">
        <v>0.1098172662</v>
      </c>
      <c r="Q127" s="80">
        <v>0.11191669410000001</v>
      </c>
      <c r="R127" s="80">
        <v>3.3599252146</v>
      </c>
      <c r="S127" s="80">
        <v>0.48187414579999999</v>
      </c>
      <c r="T127" s="80">
        <v>0.44280229250000003</v>
      </c>
    </row>
    <row r="128" spans="1:20" x14ac:dyDescent="0.2">
      <c r="A128" s="11">
        <v>127</v>
      </c>
      <c r="B128" s="11">
        <v>3</v>
      </c>
      <c r="C128" s="12" t="s">
        <v>248</v>
      </c>
      <c r="D128" s="13" t="s">
        <v>249</v>
      </c>
      <c r="E128" s="80">
        <v>55.305415912000001</v>
      </c>
      <c r="F128" s="80">
        <v>53.375354416999997</v>
      </c>
      <c r="G128" s="80">
        <v>38.917936883000003</v>
      </c>
      <c r="H128" s="80">
        <v>50.423254956999997</v>
      </c>
      <c r="I128" s="80">
        <v>54.580309559</v>
      </c>
      <c r="J128" s="80">
        <v>50.527984760999999</v>
      </c>
      <c r="K128" s="80">
        <v>37.494539062000001</v>
      </c>
      <c r="L128" s="80">
        <v>35.402990056</v>
      </c>
      <c r="M128" s="80">
        <v>36.781964047000002</v>
      </c>
      <c r="N128" s="80">
        <v>47.803259590000003</v>
      </c>
      <c r="O128" s="80">
        <v>36.687867126</v>
      </c>
      <c r="P128" s="80">
        <v>45.869395224999998</v>
      </c>
      <c r="Q128" s="80">
        <v>50.534825863999998</v>
      </c>
      <c r="R128" s="80">
        <v>38.848436497999998</v>
      </c>
      <c r="S128" s="80">
        <v>42.663219693999999</v>
      </c>
      <c r="T128" s="80">
        <v>44.910987529000003</v>
      </c>
    </row>
    <row r="129" spans="1:20" x14ac:dyDescent="0.2">
      <c r="A129" s="11">
        <v>128</v>
      </c>
      <c r="B129" s="11">
        <v>3</v>
      </c>
      <c r="C129" s="12" t="s">
        <v>250</v>
      </c>
      <c r="D129" s="13" t="s">
        <v>251</v>
      </c>
      <c r="E129" s="80">
        <v>10.622333596000001</v>
      </c>
      <c r="F129" s="80">
        <v>10.275372879000001</v>
      </c>
      <c r="G129" s="80">
        <v>12.319783325</v>
      </c>
      <c r="H129" s="80">
        <v>13.762462046</v>
      </c>
      <c r="I129" s="80">
        <v>12.935612381</v>
      </c>
      <c r="J129" s="80">
        <v>13.920688724</v>
      </c>
      <c r="K129" s="80">
        <v>11.978501207000001</v>
      </c>
      <c r="L129" s="80">
        <v>16.140334844000002</v>
      </c>
      <c r="M129" s="80">
        <v>12.212977554</v>
      </c>
      <c r="N129" s="80">
        <v>9.4666654707000006</v>
      </c>
      <c r="O129" s="80">
        <v>11.785773206</v>
      </c>
      <c r="P129" s="80">
        <v>13.215255471000001</v>
      </c>
      <c r="Q129" s="80">
        <v>26.245234264</v>
      </c>
      <c r="R129" s="80">
        <v>27.524659271000001</v>
      </c>
      <c r="S129" s="80">
        <v>24.159659123000001</v>
      </c>
      <c r="T129" s="80">
        <v>25.521019593999998</v>
      </c>
    </row>
    <row r="130" spans="1:20" x14ac:dyDescent="0.2">
      <c r="A130" s="8">
        <v>129</v>
      </c>
      <c r="B130" s="8">
        <v>2</v>
      </c>
      <c r="C130" s="9" t="s">
        <v>252</v>
      </c>
      <c r="D130" s="10" t="s">
        <v>253</v>
      </c>
      <c r="E130" s="79">
        <v>92.529674709999995</v>
      </c>
      <c r="F130" s="79">
        <v>65.608290953999997</v>
      </c>
      <c r="G130" s="79">
        <v>70.368546620000004</v>
      </c>
      <c r="H130" s="79">
        <v>92.593840306000004</v>
      </c>
      <c r="I130" s="79">
        <v>73.474585168000004</v>
      </c>
      <c r="J130" s="79">
        <v>65.308905108999994</v>
      </c>
      <c r="K130" s="79">
        <v>76.376876358000004</v>
      </c>
      <c r="L130" s="79">
        <v>69.317731570999996</v>
      </c>
      <c r="M130" s="79">
        <v>83.261108464000003</v>
      </c>
      <c r="N130" s="79">
        <v>61.473466787</v>
      </c>
      <c r="O130" s="79">
        <v>56.154848665000003</v>
      </c>
      <c r="P130" s="79">
        <v>32.715142374000003</v>
      </c>
      <c r="Q130" s="79">
        <v>33.937991029000003</v>
      </c>
      <c r="R130" s="79">
        <v>6.8132896296999998</v>
      </c>
      <c r="S130" s="79">
        <v>3.394359873</v>
      </c>
      <c r="T130" s="79">
        <v>3.9050904004000002</v>
      </c>
    </row>
    <row r="131" spans="1:20" x14ac:dyDescent="0.2">
      <c r="A131" s="11">
        <v>130</v>
      </c>
      <c r="B131" s="11">
        <v>3</v>
      </c>
      <c r="C131" s="12" t="s">
        <v>254</v>
      </c>
      <c r="D131" s="13" t="s">
        <v>253</v>
      </c>
      <c r="E131" s="80">
        <v>92.529674709999995</v>
      </c>
      <c r="F131" s="80">
        <v>65.608290953999997</v>
      </c>
      <c r="G131" s="80">
        <v>70.368546620000004</v>
      </c>
      <c r="H131" s="80">
        <v>92.593840306000004</v>
      </c>
      <c r="I131" s="80">
        <v>73.474585168000004</v>
      </c>
      <c r="J131" s="80">
        <v>65.308905108999994</v>
      </c>
      <c r="K131" s="80">
        <v>76.376876358000004</v>
      </c>
      <c r="L131" s="80">
        <v>69.317731570999996</v>
      </c>
      <c r="M131" s="80">
        <v>83.261108464000003</v>
      </c>
      <c r="N131" s="80">
        <v>61.473466787</v>
      </c>
      <c r="O131" s="80">
        <v>56.154848665000003</v>
      </c>
      <c r="P131" s="80">
        <v>32.715142374000003</v>
      </c>
      <c r="Q131" s="80">
        <v>33.937991029000003</v>
      </c>
      <c r="R131" s="80">
        <v>6.8132896296999998</v>
      </c>
      <c r="S131" s="80">
        <v>3.394359873</v>
      </c>
      <c r="T131" s="80">
        <v>3.9050904004000002</v>
      </c>
    </row>
    <row r="132" spans="1:20" ht="15" x14ac:dyDescent="0.25">
      <c r="A132" s="4">
        <v>131</v>
      </c>
      <c r="B132" s="4">
        <v>1</v>
      </c>
      <c r="C132" s="5" t="s">
        <v>255</v>
      </c>
      <c r="D132" s="6" t="s">
        <v>256</v>
      </c>
      <c r="E132" s="78">
        <v>95.484621200000007</v>
      </c>
      <c r="F132" s="78">
        <v>107.0870974</v>
      </c>
      <c r="G132" s="78">
        <v>103.40697830000001</v>
      </c>
      <c r="H132" s="78">
        <v>120.5521541</v>
      </c>
      <c r="I132" s="78">
        <v>131.50207850000001</v>
      </c>
      <c r="J132" s="78">
        <v>136.6316568</v>
      </c>
      <c r="K132" s="78">
        <v>147.22802089999999</v>
      </c>
      <c r="L132" s="78">
        <v>153.01870510000001</v>
      </c>
      <c r="M132" s="78">
        <v>146.27286749999999</v>
      </c>
      <c r="N132" s="78">
        <v>143.1262151</v>
      </c>
      <c r="O132" s="78">
        <v>139.0903394</v>
      </c>
      <c r="P132" s="78">
        <v>134.659876</v>
      </c>
      <c r="Q132" s="78">
        <v>138.41117639999999</v>
      </c>
      <c r="R132" s="78">
        <v>149.29128710000001</v>
      </c>
      <c r="S132" s="78">
        <v>156.21270670000001</v>
      </c>
      <c r="T132" s="78">
        <v>164.60601449999999</v>
      </c>
    </row>
    <row r="133" spans="1:20" x14ac:dyDescent="0.2">
      <c r="A133" s="8">
        <v>132</v>
      </c>
      <c r="B133" s="8">
        <v>2</v>
      </c>
      <c r="C133" s="9" t="s">
        <v>257</v>
      </c>
      <c r="D133" s="10" t="s">
        <v>258</v>
      </c>
      <c r="E133" s="79">
        <v>43.844200944999997</v>
      </c>
      <c r="F133" s="79">
        <v>50.008987079000001</v>
      </c>
      <c r="G133" s="79">
        <v>40.512343289</v>
      </c>
      <c r="H133" s="79">
        <v>44.691297499999997</v>
      </c>
      <c r="I133" s="79">
        <v>55.742121429999997</v>
      </c>
      <c r="J133" s="79">
        <v>59.544328551</v>
      </c>
      <c r="K133" s="79">
        <v>66.145445616000003</v>
      </c>
      <c r="L133" s="79">
        <v>65.975392525999993</v>
      </c>
      <c r="M133" s="79">
        <v>66.485097710999995</v>
      </c>
      <c r="N133" s="79">
        <v>62.514959255000001</v>
      </c>
      <c r="O133" s="79">
        <v>61.472144434000001</v>
      </c>
      <c r="P133" s="79">
        <v>60.746528951999998</v>
      </c>
      <c r="Q133" s="79">
        <v>58.518989898000001</v>
      </c>
      <c r="R133" s="79">
        <v>66.246990369000002</v>
      </c>
      <c r="S133" s="79">
        <v>65.682036065000005</v>
      </c>
      <c r="T133" s="79">
        <v>84.704505229000006</v>
      </c>
    </row>
    <row r="134" spans="1:20" x14ac:dyDescent="0.2">
      <c r="A134" s="11">
        <v>133</v>
      </c>
      <c r="B134" s="11">
        <v>3</v>
      </c>
      <c r="C134" s="12" t="s">
        <v>259</v>
      </c>
      <c r="D134" s="13" t="s">
        <v>260</v>
      </c>
      <c r="E134" s="80">
        <v>8.0939191399999999E-2</v>
      </c>
      <c r="F134" s="80">
        <v>8.1311393499999995E-2</v>
      </c>
      <c r="G134" s="80">
        <v>8.1402452099999995E-2</v>
      </c>
      <c r="H134" s="80">
        <v>11.583070114</v>
      </c>
      <c r="I134" s="80">
        <v>16.965804826999999</v>
      </c>
      <c r="J134" s="80">
        <v>25.957176768</v>
      </c>
      <c r="K134" s="80">
        <v>26.363483032000001</v>
      </c>
      <c r="L134" s="80">
        <v>26.206748571999999</v>
      </c>
      <c r="M134" s="80">
        <v>39.505264685999997</v>
      </c>
      <c r="N134" s="80">
        <v>29.719263624</v>
      </c>
      <c r="O134" s="80">
        <v>28.970187666000001</v>
      </c>
      <c r="P134" s="80">
        <v>25.408485968000001</v>
      </c>
      <c r="Q134" s="80">
        <v>19.964587613999999</v>
      </c>
      <c r="R134" s="80">
        <v>26.280614508999999</v>
      </c>
      <c r="S134" s="80">
        <v>19.958112255</v>
      </c>
      <c r="T134" s="80">
        <v>23.813710881999999</v>
      </c>
    </row>
    <row r="135" spans="1:20" x14ac:dyDescent="0.2">
      <c r="A135" s="11">
        <v>134</v>
      </c>
      <c r="B135" s="11">
        <v>3</v>
      </c>
      <c r="C135" s="12" t="s">
        <v>261</v>
      </c>
      <c r="D135" s="13" t="s">
        <v>262</v>
      </c>
      <c r="E135" s="80">
        <v>13.30703115</v>
      </c>
      <c r="F135" s="80">
        <v>15.535874296999999</v>
      </c>
      <c r="G135" s="80">
        <v>13.239085021999999</v>
      </c>
      <c r="H135" s="80">
        <v>8.9190007630999997</v>
      </c>
      <c r="I135" s="80">
        <v>11.489909409999999</v>
      </c>
      <c r="J135" s="80">
        <v>12.879200503</v>
      </c>
      <c r="K135" s="80">
        <v>15.737361607</v>
      </c>
      <c r="L135" s="80">
        <v>18.114249182999998</v>
      </c>
      <c r="M135" s="80">
        <v>13.626512494</v>
      </c>
      <c r="N135" s="80">
        <v>11.856283748999999</v>
      </c>
      <c r="O135" s="80">
        <v>9.4306859078999992</v>
      </c>
      <c r="P135" s="80">
        <v>14.448193492</v>
      </c>
      <c r="Q135" s="80">
        <v>12.638106614</v>
      </c>
      <c r="R135" s="80">
        <v>12.408555961999999</v>
      </c>
      <c r="S135" s="80">
        <v>14.054261069000001</v>
      </c>
      <c r="T135" s="80">
        <v>18.218806459</v>
      </c>
    </row>
    <row r="136" spans="1:20" x14ac:dyDescent="0.2">
      <c r="A136" s="11">
        <v>135</v>
      </c>
      <c r="B136" s="11">
        <v>3</v>
      </c>
      <c r="C136" s="12" t="s">
        <v>263</v>
      </c>
      <c r="D136" s="13" t="s">
        <v>264</v>
      </c>
      <c r="E136" s="80">
        <v>14.090378944999999</v>
      </c>
      <c r="F136" s="80">
        <v>15.885486116999999</v>
      </c>
      <c r="G136" s="80">
        <v>9.1910087448999995</v>
      </c>
      <c r="H136" s="80">
        <v>7.0204774007999999</v>
      </c>
      <c r="I136" s="80">
        <v>0.76136096230000005</v>
      </c>
      <c r="J136" s="80">
        <v>1.9712012737</v>
      </c>
      <c r="K136" s="80">
        <v>3.5840252928999998</v>
      </c>
      <c r="L136" s="80">
        <v>1.2008684038999999</v>
      </c>
      <c r="M136" s="80">
        <v>2.1652077378999999</v>
      </c>
      <c r="N136" s="80">
        <v>1.5140206801</v>
      </c>
      <c r="O136" s="80">
        <v>4.2876413807000002</v>
      </c>
      <c r="P136" s="80">
        <v>1.0067528405999999</v>
      </c>
      <c r="Q136" s="80">
        <v>2.4550893224000001</v>
      </c>
      <c r="R136" s="80">
        <v>2.0168153215000002</v>
      </c>
      <c r="S136" s="80">
        <v>2.6206021144</v>
      </c>
      <c r="T136" s="80">
        <v>4.8542446825000001</v>
      </c>
    </row>
    <row r="137" spans="1:20" x14ac:dyDescent="0.2">
      <c r="A137" s="11">
        <v>136</v>
      </c>
      <c r="B137" s="11">
        <v>3</v>
      </c>
      <c r="C137" s="12" t="s">
        <v>265</v>
      </c>
      <c r="D137" s="13" t="s">
        <v>266</v>
      </c>
      <c r="E137" s="80">
        <v>17.087285682000001</v>
      </c>
      <c r="F137" s="80">
        <v>19.366697959</v>
      </c>
      <c r="G137" s="80">
        <v>18.772530158999999</v>
      </c>
      <c r="H137" s="80">
        <v>14.936840319</v>
      </c>
      <c r="I137" s="80">
        <v>22.277770666999999</v>
      </c>
      <c r="J137" s="80">
        <v>12.984602032</v>
      </c>
      <c r="K137" s="80">
        <v>13.722617672</v>
      </c>
      <c r="L137" s="80">
        <v>16.595024205000001</v>
      </c>
      <c r="M137" s="80">
        <v>10.197529398</v>
      </c>
      <c r="N137" s="80">
        <v>17.327686623999998</v>
      </c>
      <c r="O137" s="80">
        <v>18.921546422999999</v>
      </c>
      <c r="P137" s="80">
        <v>16.774516342999998</v>
      </c>
      <c r="Q137" s="80">
        <v>18.751029166999999</v>
      </c>
      <c r="R137" s="80">
        <v>23.124520824000001</v>
      </c>
      <c r="S137" s="80">
        <v>17.951512183999998</v>
      </c>
      <c r="T137" s="80">
        <v>27.063272324</v>
      </c>
    </row>
    <row r="138" spans="1:20" x14ac:dyDescent="0.2">
      <c r="A138" s="11">
        <v>137</v>
      </c>
      <c r="B138" s="11">
        <v>3</v>
      </c>
      <c r="C138" s="12" t="s">
        <v>267</v>
      </c>
      <c r="D138" s="13" t="s">
        <v>268</v>
      </c>
      <c r="E138" s="80">
        <v>9.3955468299999997E-2</v>
      </c>
      <c r="F138" s="80">
        <v>9.0777029400000001E-2</v>
      </c>
      <c r="G138" s="80">
        <v>8.9576856400000002E-2</v>
      </c>
      <c r="H138" s="80">
        <v>0.71273510819999997</v>
      </c>
      <c r="I138" s="80">
        <v>1.5307861101</v>
      </c>
      <c r="J138" s="80">
        <v>1.3655192217000001</v>
      </c>
      <c r="K138" s="80">
        <v>3.7575677652000001</v>
      </c>
      <c r="L138" s="80">
        <v>2.5483980786</v>
      </c>
      <c r="M138" s="80">
        <v>2.3817958022000001</v>
      </c>
      <c r="N138" s="80">
        <v>3.0475769660999998</v>
      </c>
      <c r="O138" s="80">
        <v>0.92612255899999996</v>
      </c>
      <c r="P138" s="80">
        <v>3.3551918571999999</v>
      </c>
      <c r="Q138" s="80">
        <v>4.9422337036000004</v>
      </c>
      <c r="R138" s="80">
        <v>2.8881621775999999</v>
      </c>
      <c r="S138" s="80">
        <v>11.268476353000001</v>
      </c>
      <c r="T138" s="80">
        <v>11.786463100000001</v>
      </c>
    </row>
    <row r="139" spans="1:20" x14ac:dyDescent="0.2">
      <c r="A139" s="8">
        <v>138</v>
      </c>
      <c r="B139" s="8">
        <v>2</v>
      </c>
      <c r="C139" s="9" t="s">
        <v>269</v>
      </c>
      <c r="D139" s="10" t="s">
        <v>270</v>
      </c>
      <c r="E139" s="79">
        <v>3.6859355351</v>
      </c>
      <c r="F139" s="79">
        <v>7.4809468421999998</v>
      </c>
      <c r="G139" s="79">
        <v>10.023013709000001</v>
      </c>
      <c r="H139" s="79">
        <v>8.7705609888999998</v>
      </c>
      <c r="I139" s="79">
        <v>9.3607391843999999</v>
      </c>
      <c r="J139" s="79">
        <v>8.9040662325</v>
      </c>
      <c r="K139" s="79">
        <v>11.221385005</v>
      </c>
      <c r="L139" s="79">
        <v>11.620924458999999</v>
      </c>
      <c r="M139" s="79">
        <v>10.47981276</v>
      </c>
      <c r="N139" s="79">
        <v>18.059160372000001</v>
      </c>
      <c r="O139" s="79">
        <v>14.231729282</v>
      </c>
      <c r="P139" s="79">
        <v>14.224602502</v>
      </c>
      <c r="Q139" s="79">
        <v>13.209362248</v>
      </c>
      <c r="R139" s="79">
        <v>12.607658197999999</v>
      </c>
      <c r="S139" s="79">
        <v>8.4718663797999998</v>
      </c>
      <c r="T139" s="79">
        <v>14.482637777000001</v>
      </c>
    </row>
    <row r="140" spans="1:20" x14ac:dyDescent="0.2">
      <c r="A140" s="11">
        <v>139</v>
      </c>
      <c r="B140" s="11">
        <v>3</v>
      </c>
      <c r="C140" s="12" t="s">
        <v>271</v>
      </c>
      <c r="D140" s="13" t="s">
        <v>270</v>
      </c>
      <c r="E140" s="80">
        <v>3.6859355351</v>
      </c>
      <c r="F140" s="80">
        <v>7.4809468421999998</v>
      </c>
      <c r="G140" s="80">
        <v>10.023013709000001</v>
      </c>
      <c r="H140" s="80">
        <v>8.7705609888999998</v>
      </c>
      <c r="I140" s="80">
        <v>9.3607391843999999</v>
      </c>
      <c r="J140" s="80">
        <v>8.9040662325</v>
      </c>
      <c r="K140" s="80">
        <v>11.221385005</v>
      </c>
      <c r="L140" s="80">
        <v>11.620924458999999</v>
      </c>
      <c r="M140" s="80">
        <v>10.47981276</v>
      </c>
      <c r="N140" s="80">
        <v>18.059160372000001</v>
      </c>
      <c r="O140" s="80">
        <v>14.231729282</v>
      </c>
      <c r="P140" s="80">
        <v>14.224602502</v>
      </c>
      <c r="Q140" s="80">
        <v>13.209362248</v>
      </c>
      <c r="R140" s="80">
        <v>12.607658197999999</v>
      </c>
      <c r="S140" s="80">
        <v>8.4718663797999998</v>
      </c>
      <c r="T140" s="80">
        <v>14.482637777000001</v>
      </c>
    </row>
    <row r="141" spans="1:20" x14ac:dyDescent="0.2">
      <c r="A141" s="8">
        <v>140</v>
      </c>
      <c r="B141" s="8">
        <v>2</v>
      </c>
      <c r="C141" s="9" t="s">
        <v>272</v>
      </c>
      <c r="D141" s="10" t="s">
        <v>273</v>
      </c>
      <c r="E141" s="79">
        <v>25.623536624</v>
      </c>
      <c r="F141" s="79">
        <v>28.223480241000001</v>
      </c>
      <c r="G141" s="79">
        <v>30.757773523000001</v>
      </c>
      <c r="H141" s="79">
        <v>35.441346461999998</v>
      </c>
      <c r="I141" s="79">
        <v>34.717652205</v>
      </c>
      <c r="J141" s="79">
        <v>34.764284259999997</v>
      </c>
      <c r="K141" s="79">
        <v>36.364592211000001</v>
      </c>
      <c r="L141" s="79">
        <v>41.604319498999999</v>
      </c>
      <c r="M141" s="79">
        <v>32.194669459000004</v>
      </c>
      <c r="N141" s="79">
        <v>31.241112218000001</v>
      </c>
      <c r="O141" s="79">
        <v>27.626227069999999</v>
      </c>
      <c r="P141" s="79">
        <v>27.13457451</v>
      </c>
      <c r="Q141" s="79">
        <v>33.375354342000001</v>
      </c>
      <c r="R141" s="79">
        <v>34.996821934000003</v>
      </c>
      <c r="S141" s="79">
        <v>38.325624484000002</v>
      </c>
      <c r="T141" s="79">
        <v>31.127078275999999</v>
      </c>
    </row>
    <row r="142" spans="1:20" x14ac:dyDescent="0.2">
      <c r="A142" s="11">
        <v>141</v>
      </c>
      <c r="B142" s="11">
        <v>3</v>
      </c>
      <c r="C142" s="12" t="s">
        <v>274</v>
      </c>
      <c r="D142" s="13" t="s">
        <v>273</v>
      </c>
      <c r="E142" s="80">
        <v>25.623536624</v>
      </c>
      <c r="F142" s="80">
        <v>28.223480241000001</v>
      </c>
      <c r="G142" s="80">
        <v>30.757773523000001</v>
      </c>
      <c r="H142" s="80">
        <v>35.441346461999998</v>
      </c>
      <c r="I142" s="80">
        <v>34.717652205</v>
      </c>
      <c r="J142" s="80">
        <v>34.764284259999997</v>
      </c>
      <c r="K142" s="80">
        <v>36.364592211000001</v>
      </c>
      <c r="L142" s="80">
        <v>41.604319498999999</v>
      </c>
      <c r="M142" s="80">
        <v>32.194669459000004</v>
      </c>
      <c r="N142" s="80">
        <v>31.241112218000001</v>
      </c>
      <c r="O142" s="80">
        <v>27.626227069999999</v>
      </c>
      <c r="P142" s="80">
        <v>27.13457451</v>
      </c>
      <c r="Q142" s="80">
        <v>33.375354342000001</v>
      </c>
      <c r="R142" s="80">
        <v>34.996821934000003</v>
      </c>
      <c r="S142" s="80">
        <v>38.325624484000002</v>
      </c>
      <c r="T142" s="80">
        <v>31.127078275999999</v>
      </c>
    </row>
    <row r="143" spans="1:20" x14ac:dyDescent="0.2">
      <c r="A143" s="8">
        <v>142</v>
      </c>
      <c r="B143" s="8">
        <v>2</v>
      </c>
      <c r="C143" s="9" t="s">
        <v>275</v>
      </c>
      <c r="D143" s="10" t="s">
        <v>276</v>
      </c>
      <c r="E143" s="79">
        <v>18.483406036000002</v>
      </c>
      <c r="F143" s="79">
        <v>17.548015139</v>
      </c>
      <c r="G143" s="79">
        <v>17.299007141000001</v>
      </c>
      <c r="H143" s="79">
        <v>26.562957814000001</v>
      </c>
      <c r="I143" s="79">
        <v>27.694560360000001</v>
      </c>
      <c r="J143" s="79">
        <v>28.917383560000001</v>
      </c>
      <c r="K143" s="79">
        <v>28.467633396</v>
      </c>
      <c r="L143" s="79">
        <v>27.974516814000001</v>
      </c>
      <c r="M143" s="79">
        <v>29.560128648999999</v>
      </c>
      <c r="N143" s="79">
        <v>28.449448065999999</v>
      </c>
      <c r="O143" s="79">
        <v>33.540023278</v>
      </c>
      <c r="P143" s="79">
        <v>33.545434125</v>
      </c>
      <c r="Q143" s="79">
        <v>33.393782563999999</v>
      </c>
      <c r="R143" s="79">
        <v>36.573767384999996</v>
      </c>
      <c r="S143" s="79">
        <v>44.163213542999998</v>
      </c>
      <c r="T143" s="79">
        <v>34.017331808999998</v>
      </c>
    </row>
    <row r="144" spans="1:20" x14ac:dyDescent="0.2">
      <c r="A144" s="11">
        <v>143</v>
      </c>
      <c r="B144" s="11">
        <v>3</v>
      </c>
      <c r="C144" s="12" t="s">
        <v>277</v>
      </c>
      <c r="D144" s="13" t="s">
        <v>278</v>
      </c>
      <c r="E144" s="80">
        <v>6.7422119454000002</v>
      </c>
      <c r="F144" s="80">
        <v>6.6198249178999999</v>
      </c>
      <c r="G144" s="80">
        <v>4.8505356990999999</v>
      </c>
      <c r="H144" s="80">
        <v>3.0846864193000001</v>
      </c>
      <c r="I144" s="80">
        <v>3.2441228376</v>
      </c>
      <c r="J144" s="80">
        <v>4.0317027118000004</v>
      </c>
      <c r="K144" s="80">
        <v>2.3928376736999999</v>
      </c>
      <c r="L144" s="80">
        <v>3.8873967431000001</v>
      </c>
      <c r="M144" s="80">
        <v>3.9219906286000001</v>
      </c>
      <c r="N144" s="80">
        <v>1.7889446630000001</v>
      </c>
      <c r="O144" s="80">
        <v>6.2323338958000001</v>
      </c>
      <c r="P144" s="80">
        <v>4.5802985100000004</v>
      </c>
      <c r="Q144" s="80">
        <v>1.6015549814000001</v>
      </c>
      <c r="R144" s="80">
        <v>3.9613939153</v>
      </c>
      <c r="S144" s="80">
        <v>5.1155007375999997</v>
      </c>
      <c r="T144" s="80">
        <v>4.4935075021999999</v>
      </c>
    </row>
    <row r="145" spans="1:20" x14ac:dyDescent="0.2">
      <c r="A145" s="11">
        <v>144</v>
      </c>
      <c r="B145" s="11">
        <v>3</v>
      </c>
      <c r="C145" s="12" t="s">
        <v>279</v>
      </c>
      <c r="D145" s="13" t="s">
        <v>280</v>
      </c>
      <c r="E145" s="80">
        <v>12.549490364</v>
      </c>
      <c r="F145" s="80">
        <v>11.92240874</v>
      </c>
      <c r="G145" s="80">
        <v>11.878279900000001</v>
      </c>
      <c r="H145" s="80">
        <v>17.841724791000001</v>
      </c>
      <c r="I145" s="80">
        <v>14.034942758</v>
      </c>
      <c r="J145" s="80">
        <v>16.445975747999999</v>
      </c>
      <c r="K145" s="80">
        <v>17.040826761000002</v>
      </c>
      <c r="L145" s="80">
        <v>16.884335864000001</v>
      </c>
      <c r="M145" s="80">
        <v>19.548625564999998</v>
      </c>
      <c r="N145" s="80">
        <v>19.544228489000002</v>
      </c>
      <c r="O145" s="80">
        <v>17.482444942000001</v>
      </c>
      <c r="P145" s="80">
        <v>16.366314070000001</v>
      </c>
      <c r="Q145" s="80">
        <v>19.45339353</v>
      </c>
      <c r="R145" s="80">
        <v>22.676826333000001</v>
      </c>
      <c r="S145" s="80">
        <v>23.259097702999998</v>
      </c>
      <c r="T145" s="80">
        <v>20.284284857999999</v>
      </c>
    </row>
    <row r="146" spans="1:20" x14ac:dyDescent="0.2">
      <c r="A146" s="11">
        <v>145</v>
      </c>
      <c r="B146" s="11">
        <v>3</v>
      </c>
      <c r="C146" s="12" t="s">
        <v>281</v>
      </c>
      <c r="D146" s="13" t="s">
        <v>282</v>
      </c>
      <c r="E146" s="80">
        <v>9.6152814099999998E-2</v>
      </c>
      <c r="F146" s="80">
        <v>9.5272617200000007E-2</v>
      </c>
      <c r="G146" s="80">
        <v>1.4394802895000001</v>
      </c>
      <c r="H146" s="80">
        <v>6.4367805440000003</v>
      </c>
      <c r="I146" s="80">
        <v>11.099026636</v>
      </c>
      <c r="J146" s="80">
        <v>9.0985128210999999</v>
      </c>
      <c r="K146" s="80">
        <v>9.1607319707000006</v>
      </c>
      <c r="L146" s="80">
        <v>7.3118568675000004</v>
      </c>
      <c r="M146" s="80">
        <v>6.0705249283000002</v>
      </c>
      <c r="N146" s="80">
        <v>7.044488651</v>
      </c>
      <c r="O146" s="80">
        <v>9.6164004379999994</v>
      </c>
      <c r="P146" s="80">
        <v>12.375175754000001</v>
      </c>
      <c r="Q146" s="80">
        <v>12.039442479</v>
      </c>
      <c r="R146" s="80">
        <v>9.7141116825000005</v>
      </c>
      <c r="S146" s="80">
        <v>15.210091595</v>
      </c>
      <c r="T146" s="80">
        <v>8.8329791417999992</v>
      </c>
    </row>
    <row r="147" spans="1:20" x14ac:dyDescent="0.2">
      <c r="A147" s="8">
        <v>146</v>
      </c>
      <c r="B147" s="8">
        <v>2</v>
      </c>
      <c r="C147" s="9" t="s">
        <v>283</v>
      </c>
      <c r="D147" s="10" t="s">
        <v>284</v>
      </c>
      <c r="E147" s="79">
        <v>3.5415250799</v>
      </c>
      <c r="F147" s="79">
        <v>3.5683301709999999</v>
      </c>
      <c r="G147" s="79">
        <v>4.6020350984</v>
      </c>
      <c r="H147" s="79">
        <v>4.1724216684000002</v>
      </c>
      <c r="I147" s="79">
        <v>2.0243125649000002</v>
      </c>
      <c r="J147" s="79">
        <v>1.8697630994000001</v>
      </c>
      <c r="K147" s="79">
        <v>1.7987815322</v>
      </c>
      <c r="L147" s="79">
        <v>2.5352441028000001</v>
      </c>
      <c r="M147" s="79">
        <v>5.2231460272000003</v>
      </c>
      <c r="N147" s="79">
        <v>2.3719033761000001</v>
      </c>
      <c r="O147" s="79">
        <v>2.7813644342999999</v>
      </c>
      <c r="P147" s="79">
        <v>7.1636597299999993E-2</v>
      </c>
      <c r="Q147" s="79">
        <v>1.4871860199</v>
      </c>
      <c r="R147" s="79">
        <v>0.1015550549</v>
      </c>
      <c r="S147" s="79">
        <v>0.54885948750000002</v>
      </c>
      <c r="T147" s="79">
        <v>9.9966265900000004E-2</v>
      </c>
    </row>
    <row r="148" spans="1:20" x14ac:dyDescent="0.2">
      <c r="A148" s="11">
        <v>147</v>
      </c>
      <c r="B148" s="11">
        <v>3</v>
      </c>
      <c r="C148" s="12" t="s">
        <v>285</v>
      </c>
      <c r="D148" s="13" t="s">
        <v>284</v>
      </c>
      <c r="E148" s="80">
        <v>3.5415250799</v>
      </c>
      <c r="F148" s="80">
        <v>3.5683301709999999</v>
      </c>
      <c r="G148" s="80">
        <v>4.6020350984</v>
      </c>
      <c r="H148" s="80">
        <v>4.1724216684000002</v>
      </c>
      <c r="I148" s="80">
        <v>2.0243125649000002</v>
      </c>
      <c r="J148" s="80">
        <v>1.8697630994000001</v>
      </c>
      <c r="K148" s="80">
        <v>1.7987815322</v>
      </c>
      <c r="L148" s="80">
        <v>2.5352441028000001</v>
      </c>
      <c r="M148" s="80">
        <v>5.2231460272000003</v>
      </c>
      <c r="N148" s="80">
        <v>2.3719033761000001</v>
      </c>
      <c r="O148" s="80">
        <v>2.7813644342999999</v>
      </c>
      <c r="P148" s="80">
        <v>7.1636597299999993E-2</v>
      </c>
      <c r="Q148" s="80">
        <v>1.4871860199</v>
      </c>
      <c r="R148" s="80">
        <v>0.1015550549</v>
      </c>
      <c r="S148" s="80">
        <v>0.54885948750000002</v>
      </c>
      <c r="T148" s="80">
        <v>9.9966265900000004E-2</v>
      </c>
    </row>
    <row r="149" spans="1:20" ht="15" x14ac:dyDescent="0.25">
      <c r="A149" s="4">
        <v>148</v>
      </c>
      <c r="B149" s="4">
        <v>1</v>
      </c>
      <c r="C149" s="5" t="s">
        <v>286</v>
      </c>
      <c r="D149" s="6" t="s">
        <v>287</v>
      </c>
      <c r="E149" s="78">
        <v>839.84431840000002</v>
      </c>
      <c r="F149" s="78">
        <v>875.04539690000001</v>
      </c>
      <c r="G149" s="78">
        <v>926.14768800000002</v>
      </c>
      <c r="H149" s="78">
        <v>970.33422399999995</v>
      </c>
      <c r="I149" s="78">
        <v>981.50402489999999</v>
      </c>
      <c r="J149" s="78">
        <v>992.08189649999997</v>
      </c>
      <c r="K149" s="78">
        <v>1018.6907398</v>
      </c>
      <c r="L149" s="78">
        <v>971.36556329999996</v>
      </c>
      <c r="M149" s="78">
        <v>977.58801949999997</v>
      </c>
      <c r="N149" s="78">
        <v>1015.1123813</v>
      </c>
      <c r="O149" s="78">
        <v>1030.3417526000001</v>
      </c>
      <c r="P149" s="78">
        <v>1079.3209644000001</v>
      </c>
      <c r="Q149" s="78">
        <v>1123.4675735999999</v>
      </c>
      <c r="R149" s="78">
        <v>1170.5183138</v>
      </c>
      <c r="S149" s="78">
        <v>1175.6801316999999</v>
      </c>
      <c r="T149" s="78">
        <v>1174.0601678</v>
      </c>
    </row>
    <row r="150" spans="1:20" x14ac:dyDescent="0.2">
      <c r="A150" s="8">
        <v>149</v>
      </c>
      <c r="B150" s="8">
        <v>2</v>
      </c>
      <c r="C150" s="9" t="s">
        <v>288</v>
      </c>
      <c r="D150" s="10" t="s">
        <v>289</v>
      </c>
      <c r="E150" s="79">
        <v>202.11161616999999</v>
      </c>
      <c r="F150" s="79">
        <v>204.93943085000001</v>
      </c>
      <c r="G150" s="79">
        <v>210.48042867000001</v>
      </c>
      <c r="H150" s="79">
        <v>244.17337814999999</v>
      </c>
      <c r="I150" s="79">
        <v>229.00588101</v>
      </c>
      <c r="J150" s="79">
        <v>238.02441418999999</v>
      </c>
      <c r="K150" s="79">
        <v>234.1108964</v>
      </c>
      <c r="L150" s="79">
        <v>211.85973677000001</v>
      </c>
      <c r="M150" s="79">
        <v>219.81633385999999</v>
      </c>
      <c r="N150" s="79">
        <v>240.95219772999999</v>
      </c>
      <c r="O150" s="79">
        <v>261.66033501999999</v>
      </c>
      <c r="P150" s="79">
        <v>285.11571604</v>
      </c>
      <c r="Q150" s="79">
        <v>278.16580565999999</v>
      </c>
      <c r="R150" s="79">
        <v>316.48211462</v>
      </c>
      <c r="S150" s="79">
        <v>312.33008808</v>
      </c>
      <c r="T150" s="79">
        <v>337.71234225000001</v>
      </c>
    </row>
    <row r="151" spans="1:20" x14ac:dyDescent="0.2">
      <c r="A151" s="11">
        <v>150</v>
      </c>
      <c r="B151" s="11">
        <v>3</v>
      </c>
      <c r="C151" s="12" t="s">
        <v>290</v>
      </c>
      <c r="D151" s="13" t="s">
        <v>291</v>
      </c>
      <c r="E151" s="80">
        <v>97.875411360000001</v>
      </c>
      <c r="F151" s="80">
        <v>99.146955153999997</v>
      </c>
      <c r="G151" s="80">
        <v>103.27573866</v>
      </c>
      <c r="H151" s="80">
        <v>116.86730652</v>
      </c>
      <c r="I151" s="80">
        <v>111.28562205999999</v>
      </c>
      <c r="J151" s="80">
        <v>119.15816513999999</v>
      </c>
      <c r="K151" s="80">
        <v>109.61442481</v>
      </c>
      <c r="L151" s="80">
        <v>100.64027529000001</v>
      </c>
      <c r="M151" s="80">
        <v>102.50887265</v>
      </c>
      <c r="N151" s="80">
        <v>119.80945139000001</v>
      </c>
      <c r="O151" s="80">
        <v>132.09335350000001</v>
      </c>
      <c r="P151" s="80">
        <v>133.52335699</v>
      </c>
      <c r="Q151" s="80">
        <v>118.86806094000001</v>
      </c>
      <c r="R151" s="80">
        <v>114.9982902</v>
      </c>
      <c r="S151" s="80">
        <v>102.34492487</v>
      </c>
      <c r="T151" s="80">
        <v>145.52665977999999</v>
      </c>
    </row>
    <row r="152" spans="1:20" x14ac:dyDescent="0.2">
      <c r="A152" s="11">
        <v>151</v>
      </c>
      <c r="B152" s="11">
        <v>3</v>
      </c>
      <c r="C152" s="12" t="s">
        <v>292</v>
      </c>
      <c r="D152" s="13" t="s">
        <v>293</v>
      </c>
      <c r="E152" s="80">
        <v>68.130661532000005</v>
      </c>
      <c r="F152" s="80">
        <v>69.560855360000005</v>
      </c>
      <c r="G152" s="80">
        <v>69.737281496999998</v>
      </c>
      <c r="H152" s="80">
        <v>89.974275922999993</v>
      </c>
      <c r="I152" s="80">
        <v>74.801247805000003</v>
      </c>
      <c r="J152" s="80">
        <v>85.205346583999997</v>
      </c>
      <c r="K152" s="80">
        <v>89.583678671000001</v>
      </c>
      <c r="L152" s="80">
        <v>73.393301476000005</v>
      </c>
      <c r="M152" s="80">
        <v>82.653327724999997</v>
      </c>
      <c r="N152" s="80">
        <v>85.222083052000002</v>
      </c>
      <c r="O152" s="80">
        <v>93.511740365999998</v>
      </c>
      <c r="P152" s="80">
        <v>109.06405463999999</v>
      </c>
      <c r="Q152" s="80">
        <v>107.15598532</v>
      </c>
      <c r="R152" s="80">
        <v>134.26551961999999</v>
      </c>
      <c r="S152" s="80">
        <v>142.42557613</v>
      </c>
      <c r="T152" s="80">
        <v>132.67619574</v>
      </c>
    </row>
    <row r="153" spans="1:20" x14ac:dyDescent="0.2">
      <c r="A153" s="11">
        <v>152</v>
      </c>
      <c r="B153" s="11">
        <v>3</v>
      </c>
      <c r="C153" s="12" t="s">
        <v>294</v>
      </c>
      <c r="D153" s="13" t="s">
        <v>295</v>
      </c>
      <c r="E153" s="80">
        <v>39.153332231999997</v>
      </c>
      <c r="F153" s="80">
        <v>39.749560098000003</v>
      </c>
      <c r="G153" s="80">
        <v>41.581314923000001</v>
      </c>
      <c r="H153" s="80">
        <v>42.306647709000003</v>
      </c>
      <c r="I153" s="80">
        <v>47.025123483000002</v>
      </c>
      <c r="J153" s="80">
        <v>37.659340168999996</v>
      </c>
      <c r="K153" s="80">
        <v>38.08535972</v>
      </c>
      <c r="L153" s="80">
        <v>39.488138042999999</v>
      </c>
      <c r="M153" s="80">
        <v>35.278092321999999</v>
      </c>
      <c r="N153" s="80">
        <v>35.709028199999999</v>
      </c>
      <c r="O153" s="80">
        <v>35.66293426</v>
      </c>
      <c r="P153" s="80">
        <v>42.544687398999997</v>
      </c>
      <c r="Q153" s="80">
        <v>52.894160214999999</v>
      </c>
      <c r="R153" s="80">
        <v>67.948659453999994</v>
      </c>
      <c r="S153" s="80">
        <v>68.051010996000002</v>
      </c>
      <c r="T153" s="80">
        <v>63.332862265999999</v>
      </c>
    </row>
    <row r="154" spans="1:20" x14ac:dyDescent="0.2">
      <c r="A154" s="8">
        <v>153</v>
      </c>
      <c r="B154" s="8">
        <v>2</v>
      </c>
      <c r="C154" s="9" t="s">
        <v>296</v>
      </c>
      <c r="D154" s="10" t="s">
        <v>297</v>
      </c>
      <c r="E154" s="79">
        <v>57.038013251999999</v>
      </c>
      <c r="F154" s="79">
        <v>48.070229245999997</v>
      </c>
      <c r="G154" s="79">
        <v>72.129371461999995</v>
      </c>
      <c r="H154" s="79">
        <v>58.614103481999997</v>
      </c>
      <c r="I154" s="79">
        <v>68.971927203999996</v>
      </c>
      <c r="J154" s="79">
        <v>70.148172629000001</v>
      </c>
      <c r="K154" s="79">
        <v>69.053327784000004</v>
      </c>
      <c r="L154" s="79">
        <v>64.926211757000004</v>
      </c>
      <c r="M154" s="79">
        <v>61.195538249999998</v>
      </c>
      <c r="N154" s="79">
        <v>84.905852714000005</v>
      </c>
      <c r="O154" s="79">
        <v>71.168531008000002</v>
      </c>
      <c r="P154" s="79">
        <v>74.140857976999996</v>
      </c>
      <c r="Q154" s="79">
        <v>79.704390528999994</v>
      </c>
      <c r="R154" s="79">
        <v>113.19988409</v>
      </c>
      <c r="S154" s="79">
        <v>106.20781924000001</v>
      </c>
      <c r="T154" s="79">
        <v>110.12986295</v>
      </c>
    </row>
    <row r="155" spans="1:20" x14ac:dyDescent="0.2">
      <c r="A155" s="11">
        <v>154</v>
      </c>
      <c r="B155" s="11">
        <v>3</v>
      </c>
      <c r="C155" s="12" t="s">
        <v>298</v>
      </c>
      <c r="D155" s="13" t="s">
        <v>297</v>
      </c>
      <c r="E155" s="80">
        <v>57.038013251999999</v>
      </c>
      <c r="F155" s="80">
        <v>48.070229245999997</v>
      </c>
      <c r="G155" s="80">
        <v>72.129371461999995</v>
      </c>
      <c r="H155" s="80">
        <v>58.614103481999997</v>
      </c>
      <c r="I155" s="80">
        <v>68.971927203999996</v>
      </c>
      <c r="J155" s="80">
        <v>70.148172629000001</v>
      </c>
      <c r="K155" s="80">
        <v>69.053327784000004</v>
      </c>
      <c r="L155" s="80">
        <v>64.926211757000004</v>
      </c>
      <c r="M155" s="80">
        <v>61.195538249999998</v>
      </c>
      <c r="N155" s="80">
        <v>84.905852714000005</v>
      </c>
      <c r="O155" s="80">
        <v>71.168531008000002</v>
      </c>
      <c r="P155" s="80">
        <v>74.140857976999996</v>
      </c>
      <c r="Q155" s="80">
        <v>79.704390528999994</v>
      </c>
      <c r="R155" s="80">
        <v>113.19988409</v>
      </c>
      <c r="S155" s="80">
        <v>106.20781924000001</v>
      </c>
      <c r="T155" s="80">
        <v>110.12986295</v>
      </c>
    </row>
    <row r="156" spans="1:20" x14ac:dyDescent="0.2">
      <c r="A156" s="8">
        <v>155</v>
      </c>
      <c r="B156" s="8">
        <v>2</v>
      </c>
      <c r="C156" s="9" t="s">
        <v>299</v>
      </c>
      <c r="D156" s="10" t="s">
        <v>300</v>
      </c>
      <c r="E156" s="79">
        <v>565.63868382999999</v>
      </c>
      <c r="F156" s="79">
        <v>605.98554850999994</v>
      </c>
      <c r="G156" s="79">
        <v>618.53994295999996</v>
      </c>
      <c r="H156" s="79">
        <v>651.94093397999995</v>
      </c>
      <c r="I156" s="79">
        <v>644.02714646000004</v>
      </c>
      <c r="J156" s="79">
        <v>655.78340857000001</v>
      </c>
      <c r="K156" s="79">
        <v>680.05002879999995</v>
      </c>
      <c r="L156" s="79">
        <v>652.19156156999998</v>
      </c>
      <c r="M156" s="79">
        <v>647.82244710999998</v>
      </c>
      <c r="N156" s="79">
        <v>651.74569978</v>
      </c>
      <c r="O156" s="79">
        <v>672.6366051</v>
      </c>
      <c r="P156" s="79">
        <v>703.67417778000004</v>
      </c>
      <c r="Q156" s="79">
        <v>750.75761268999997</v>
      </c>
      <c r="R156" s="79">
        <v>738.99940942000001</v>
      </c>
      <c r="S156" s="79">
        <v>756.25410855999996</v>
      </c>
      <c r="T156" s="79">
        <v>724.94875091999995</v>
      </c>
    </row>
    <row r="157" spans="1:20" x14ac:dyDescent="0.2">
      <c r="A157" s="11">
        <v>156</v>
      </c>
      <c r="B157" s="11">
        <v>3</v>
      </c>
      <c r="C157" s="12" t="s">
        <v>301</v>
      </c>
      <c r="D157" s="13" t="s">
        <v>302</v>
      </c>
      <c r="E157" s="80">
        <v>4.5273795666999996</v>
      </c>
      <c r="F157" s="80">
        <v>3.7662942625000002</v>
      </c>
      <c r="G157" s="80">
        <v>7.4270786814000003</v>
      </c>
      <c r="H157" s="80">
        <v>2.9790776939999999</v>
      </c>
      <c r="I157" s="80">
        <v>5.8953048182999996</v>
      </c>
      <c r="J157" s="80">
        <v>4.5440632349000003</v>
      </c>
      <c r="K157" s="80">
        <v>5.4674370739000002</v>
      </c>
      <c r="L157" s="80">
        <v>6.2494178661999999</v>
      </c>
      <c r="M157" s="80">
        <v>7.0898332478999997</v>
      </c>
      <c r="N157" s="80">
        <v>6.3263971113000004</v>
      </c>
      <c r="O157" s="80">
        <v>11.469743634</v>
      </c>
      <c r="P157" s="80">
        <v>5.6515363771000002</v>
      </c>
      <c r="Q157" s="80">
        <v>14.075731473999999</v>
      </c>
      <c r="R157" s="80">
        <v>5.9111768954999997</v>
      </c>
      <c r="S157" s="80">
        <v>5.7258709491999999</v>
      </c>
      <c r="T157" s="80">
        <v>5.3541554162000002</v>
      </c>
    </row>
    <row r="158" spans="1:20" x14ac:dyDescent="0.2">
      <c r="A158" s="11">
        <v>157</v>
      </c>
      <c r="B158" s="11">
        <v>3</v>
      </c>
      <c r="C158" s="12" t="s">
        <v>303</v>
      </c>
      <c r="D158" s="13" t="s">
        <v>304</v>
      </c>
      <c r="E158" s="80">
        <v>42.233034127000003</v>
      </c>
      <c r="F158" s="80">
        <v>49.549656431999999</v>
      </c>
      <c r="G158" s="80">
        <v>47.301576656000002</v>
      </c>
      <c r="H158" s="80">
        <v>51.830457721000002</v>
      </c>
      <c r="I158" s="80">
        <v>46.447476313000003</v>
      </c>
      <c r="J158" s="80">
        <v>58.649695420999997</v>
      </c>
      <c r="K158" s="80">
        <v>45.909926640000002</v>
      </c>
      <c r="L158" s="80">
        <v>46.847065712000003</v>
      </c>
      <c r="M158" s="80">
        <v>53.300878765999997</v>
      </c>
      <c r="N158" s="80">
        <v>52.366607023999997</v>
      </c>
      <c r="O158" s="80">
        <v>49.300553168</v>
      </c>
      <c r="P158" s="80">
        <v>47.790100477999999</v>
      </c>
      <c r="Q158" s="80">
        <v>57.567119294000001</v>
      </c>
      <c r="R158" s="80">
        <v>55.852338936000002</v>
      </c>
      <c r="S158" s="80">
        <v>57.084686615999999</v>
      </c>
      <c r="T158" s="80">
        <v>50.883433037000003</v>
      </c>
    </row>
    <row r="159" spans="1:20" x14ac:dyDescent="0.2">
      <c r="A159" s="11">
        <v>158</v>
      </c>
      <c r="B159" s="11">
        <v>3</v>
      </c>
      <c r="C159" s="12" t="s">
        <v>305</v>
      </c>
      <c r="D159" s="13" t="s">
        <v>306</v>
      </c>
      <c r="E159" s="80">
        <v>89.909774229000007</v>
      </c>
      <c r="F159" s="80">
        <v>85.155724374000002</v>
      </c>
      <c r="G159" s="80">
        <v>82.149156593000001</v>
      </c>
      <c r="H159" s="80">
        <v>94.867666517999993</v>
      </c>
      <c r="I159" s="80">
        <v>93.188031125999998</v>
      </c>
      <c r="J159" s="80">
        <v>87.542323237999994</v>
      </c>
      <c r="K159" s="80">
        <v>92.516832184999998</v>
      </c>
      <c r="L159" s="80">
        <v>87.182950744999999</v>
      </c>
      <c r="M159" s="80">
        <v>90.636849708</v>
      </c>
      <c r="N159" s="80">
        <v>73.676190194</v>
      </c>
      <c r="O159" s="80">
        <v>78.095920540999998</v>
      </c>
      <c r="P159" s="80">
        <v>91.778676477999994</v>
      </c>
      <c r="Q159" s="80">
        <v>97.484502371000005</v>
      </c>
      <c r="R159" s="80">
        <v>101.76349759</v>
      </c>
      <c r="S159" s="80">
        <v>106.28849074999999</v>
      </c>
      <c r="T159" s="80">
        <v>97.307093065000004</v>
      </c>
    </row>
    <row r="160" spans="1:20" x14ac:dyDescent="0.2">
      <c r="A160" s="11">
        <v>159</v>
      </c>
      <c r="B160" s="11">
        <v>3</v>
      </c>
      <c r="C160" s="12" t="s">
        <v>307</v>
      </c>
      <c r="D160" s="13" t="s">
        <v>308</v>
      </c>
      <c r="E160" s="80">
        <v>168.78288692999999</v>
      </c>
      <c r="F160" s="80">
        <v>177.98076166999999</v>
      </c>
      <c r="G160" s="80">
        <v>207.49207339</v>
      </c>
      <c r="H160" s="80">
        <v>207.78431732000001</v>
      </c>
      <c r="I160" s="80">
        <v>222.92492189000001</v>
      </c>
      <c r="J160" s="80">
        <v>230.80642029000001</v>
      </c>
      <c r="K160" s="80">
        <v>236.15555266000001</v>
      </c>
      <c r="L160" s="80">
        <v>241.91685412000001</v>
      </c>
      <c r="M160" s="80">
        <v>235.41225671000001</v>
      </c>
      <c r="N160" s="80">
        <v>224.36191880000001</v>
      </c>
      <c r="O160" s="80">
        <v>245.07285489</v>
      </c>
      <c r="P160" s="80">
        <v>248.22441560999999</v>
      </c>
      <c r="Q160" s="80">
        <v>246.81405008999999</v>
      </c>
      <c r="R160" s="80">
        <v>251.58672039999999</v>
      </c>
      <c r="S160" s="80">
        <v>260.80777101000001</v>
      </c>
      <c r="T160" s="80">
        <v>258.94306884000002</v>
      </c>
    </row>
    <row r="161" spans="1:20" x14ac:dyDescent="0.2">
      <c r="A161" s="11">
        <v>160</v>
      </c>
      <c r="B161" s="11">
        <v>3</v>
      </c>
      <c r="C161" s="12" t="s">
        <v>309</v>
      </c>
      <c r="D161" s="13" t="s">
        <v>310</v>
      </c>
      <c r="E161" s="80">
        <v>182.36578227999999</v>
      </c>
      <c r="F161" s="80">
        <v>190.84392579999999</v>
      </c>
      <c r="G161" s="80">
        <v>180.69086601000001</v>
      </c>
      <c r="H161" s="80">
        <v>201.71740199000001</v>
      </c>
      <c r="I161" s="80">
        <v>187.36558522999999</v>
      </c>
      <c r="J161" s="80">
        <v>179.76160788000001</v>
      </c>
      <c r="K161" s="80">
        <v>196.27709566999999</v>
      </c>
      <c r="L161" s="80">
        <v>185.51465228999999</v>
      </c>
      <c r="M161" s="80">
        <v>173.03604881999999</v>
      </c>
      <c r="N161" s="80">
        <v>184.07276182999999</v>
      </c>
      <c r="O161" s="80">
        <v>185.70320788000001</v>
      </c>
      <c r="P161" s="80">
        <v>206.35167204000001</v>
      </c>
      <c r="Q161" s="80">
        <v>218.47320443000001</v>
      </c>
      <c r="R161" s="80">
        <v>202.26301914000001</v>
      </c>
      <c r="S161" s="80">
        <v>210.40928338000001</v>
      </c>
      <c r="T161" s="80">
        <v>190.39863076</v>
      </c>
    </row>
    <row r="162" spans="1:20" x14ac:dyDescent="0.2">
      <c r="A162" s="11">
        <v>161</v>
      </c>
      <c r="B162" s="11">
        <v>3</v>
      </c>
      <c r="C162" s="12" t="s">
        <v>311</v>
      </c>
      <c r="D162" s="13" t="s">
        <v>312</v>
      </c>
      <c r="E162" s="80">
        <v>76.231582365999998</v>
      </c>
      <c r="F162" s="80">
        <v>96.111209833000004</v>
      </c>
      <c r="G162" s="80">
        <v>90.516242534</v>
      </c>
      <c r="H162" s="80">
        <v>89.567496625999993</v>
      </c>
      <c r="I162" s="80">
        <v>86.222641460000006</v>
      </c>
      <c r="J162" s="80">
        <v>92.938385628000006</v>
      </c>
      <c r="K162" s="80">
        <v>103.65807473</v>
      </c>
      <c r="L162" s="80">
        <v>84.697704721999997</v>
      </c>
      <c r="M162" s="80">
        <v>89.247943723000006</v>
      </c>
      <c r="N162" s="80">
        <v>111.49268361</v>
      </c>
      <c r="O162" s="80">
        <v>102.72679628</v>
      </c>
      <c r="P162" s="80">
        <v>103.95709604</v>
      </c>
      <c r="Q162" s="80">
        <v>115.63749942</v>
      </c>
      <c r="R162" s="80">
        <v>120.18915093</v>
      </c>
      <c r="S162" s="80">
        <v>114.29149356000001</v>
      </c>
      <c r="T162" s="80">
        <v>119.89231486</v>
      </c>
    </row>
    <row r="163" spans="1:20" x14ac:dyDescent="0.2">
      <c r="A163" s="8">
        <v>162</v>
      </c>
      <c r="B163" s="8">
        <v>2</v>
      </c>
      <c r="C163" s="9" t="s">
        <v>313</v>
      </c>
      <c r="D163" s="10" t="s">
        <v>314</v>
      </c>
      <c r="E163" s="79">
        <v>20.205591340000002</v>
      </c>
      <c r="F163" s="79">
        <v>18.661941069000001</v>
      </c>
      <c r="G163" s="79">
        <v>25.047795741000002</v>
      </c>
      <c r="H163" s="79">
        <v>14.45354135</v>
      </c>
      <c r="I163" s="79">
        <v>37.379255163000003</v>
      </c>
      <c r="J163" s="79">
        <v>26.774128137999998</v>
      </c>
      <c r="K163" s="79">
        <v>35.369913156999999</v>
      </c>
      <c r="L163" s="79">
        <v>44.015759791999997</v>
      </c>
      <c r="M163" s="79">
        <v>51.276259922000001</v>
      </c>
      <c r="N163" s="79">
        <v>39.852913055000002</v>
      </c>
      <c r="O163" s="79">
        <v>25.710800248000002</v>
      </c>
      <c r="P163" s="79">
        <v>16.250793307999999</v>
      </c>
      <c r="Q163" s="79">
        <v>14.566407469</v>
      </c>
      <c r="R163" s="79">
        <v>0.2177808098</v>
      </c>
      <c r="S163" s="79">
        <v>0.68338751880000004</v>
      </c>
      <c r="T163" s="79">
        <v>1.331003189</v>
      </c>
    </row>
    <row r="164" spans="1:20" x14ac:dyDescent="0.2">
      <c r="A164" s="11">
        <v>163</v>
      </c>
      <c r="B164" s="11">
        <v>3</v>
      </c>
      <c r="C164" s="12" t="s">
        <v>315</v>
      </c>
      <c r="D164" s="13" t="s">
        <v>314</v>
      </c>
      <c r="E164" s="80">
        <v>20.205591340000002</v>
      </c>
      <c r="F164" s="80">
        <v>18.661941069000001</v>
      </c>
      <c r="G164" s="80">
        <v>25.047795741000002</v>
      </c>
      <c r="H164" s="80">
        <v>14.45354135</v>
      </c>
      <c r="I164" s="80">
        <v>37.379255163000003</v>
      </c>
      <c r="J164" s="80">
        <v>26.774128137999998</v>
      </c>
      <c r="K164" s="80">
        <v>35.369913156999999</v>
      </c>
      <c r="L164" s="80">
        <v>44.015759791999997</v>
      </c>
      <c r="M164" s="80">
        <v>51.276259922000001</v>
      </c>
      <c r="N164" s="80">
        <v>39.852913055000002</v>
      </c>
      <c r="O164" s="80">
        <v>25.710800248000002</v>
      </c>
      <c r="P164" s="80">
        <v>16.250793307999999</v>
      </c>
      <c r="Q164" s="80">
        <v>14.566407469</v>
      </c>
      <c r="R164" s="80">
        <v>0.2177808098</v>
      </c>
      <c r="S164" s="80">
        <v>0.68338751880000004</v>
      </c>
      <c r="T164" s="80">
        <v>1.331003189</v>
      </c>
    </row>
    <row r="165" spans="1:20" ht="15" x14ac:dyDescent="0.25">
      <c r="A165" s="4">
        <v>164</v>
      </c>
      <c r="B165" s="4">
        <v>1</v>
      </c>
      <c r="C165" s="5" t="s">
        <v>316</v>
      </c>
      <c r="D165" s="6" t="s">
        <v>317</v>
      </c>
      <c r="E165" s="78">
        <v>363.17072380000002</v>
      </c>
      <c r="F165" s="78">
        <v>389.5017082</v>
      </c>
      <c r="G165" s="78">
        <v>406.17290509999998</v>
      </c>
      <c r="H165" s="78">
        <v>400.7993606</v>
      </c>
      <c r="I165" s="78">
        <v>404.51366139999999</v>
      </c>
      <c r="J165" s="78">
        <v>407.50282099999998</v>
      </c>
      <c r="K165" s="78">
        <v>394.5109716</v>
      </c>
      <c r="L165" s="78">
        <v>402.63697380000002</v>
      </c>
      <c r="M165" s="78">
        <v>428.47878500000002</v>
      </c>
      <c r="N165" s="78">
        <v>386.83760380000001</v>
      </c>
      <c r="O165" s="78">
        <v>396.73724249999998</v>
      </c>
      <c r="P165" s="78">
        <v>382.59791009999998</v>
      </c>
      <c r="Q165" s="78">
        <v>349.12992539999999</v>
      </c>
      <c r="R165" s="78">
        <v>360.82911819999998</v>
      </c>
      <c r="S165" s="78">
        <v>405.4173864</v>
      </c>
      <c r="T165" s="78">
        <v>390.35758279999999</v>
      </c>
    </row>
    <row r="166" spans="1:20" x14ac:dyDescent="0.2">
      <c r="A166" s="8">
        <v>165</v>
      </c>
      <c r="B166" s="8">
        <v>2</v>
      </c>
      <c r="C166" s="9" t="s">
        <v>318</v>
      </c>
      <c r="D166" s="10" t="s">
        <v>319</v>
      </c>
      <c r="E166" s="79">
        <v>85.764962877000002</v>
      </c>
      <c r="F166" s="79">
        <v>96.851028847999999</v>
      </c>
      <c r="G166" s="79">
        <v>104.50160482</v>
      </c>
      <c r="H166" s="79">
        <v>97.968312298000001</v>
      </c>
      <c r="I166" s="79">
        <v>92.655484639999997</v>
      </c>
      <c r="J166" s="79">
        <v>98.301551814999996</v>
      </c>
      <c r="K166" s="79">
        <v>86.661649467000004</v>
      </c>
      <c r="L166" s="79">
        <v>95.253370511</v>
      </c>
      <c r="M166" s="79">
        <v>105.92529399999999</v>
      </c>
      <c r="N166" s="79">
        <v>85.126881045000005</v>
      </c>
      <c r="O166" s="79">
        <v>88.785797145999993</v>
      </c>
      <c r="P166" s="79">
        <v>91.620991544999995</v>
      </c>
      <c r="Q166" s="79">
        <v>97.737652612999995</v>
      </c>
      <c r="R166" s="79">
        <v>88.66895418</v>
      </c>
      <c r="S166" s="79">
        <v>97.217735743999995</v>
      </c>
      <c r="T166" s="79">
        <v>85.674467055999997</v>
      </c>
    </row>
    <row r="167" spans="1:20" x14ac:dyDescent="0.2">
      <c r="A167" s="11">
        <v>166</v>
      </c>
      <c r="B167" s="11">
        <v>3</v>
      </c>
      <c r="C167" s="12" t="s">
        <v>320</v>
      </c>
      <c r="D167" s="13" t="s">
        <v>321</v>
      </c>
      <c r="E167" s="80">
        <v>0.3349994765</v>
      </c>
      <c r="F167" s="80">
        <v>0.63852244469999997</v>
      </c>
      <c r="G167" s="80">
        <v>0.75228149740000005</v>
      </c>
      <c r="H167" s="80">
        <v>0.115325515</v>
      </c>
      <c r="I167" s="80">
        <v>1.1865848564000001</v>
      </c>
      <c r="J167" s="80">
        <v>1.4377607527</v>
      </c>
      <c r="K167" s="80">
        <v>1.7771692324999999</v>
      </c>
      <c r="L167" s="80">
        <v>1.0704029179000001</v>
      </c>
      <c r="M167" s="80">
        <v>0.62694399700000003</v>
      </c>
      <c r="N167" s="80">
        <v>1.2681822587</v>
      </c>
      <c r="O167" s="80">
        <v>1.780548432</v>
      </c>
      <c r="P167" s="80">
        <v>1.1425736657000001</v>
      </c>
      <c r="Q167" s="80">
        <v>0.49505369789999998</v>
      </c>
      <c r="R167" s="80">
        <v>1.4440061891</v>
      </c>
      <c r="S167" s="80">
        <v>0.54409543930000004</v>
      </c>
      <c r="T167" s="80">
        <v>0.3883294451</v>
      </c>
    </row>
    <row r="168" spans="1:20" x14ac:dyDescent="0.2">
      <c r="A168" s="11">
        <v>167</v>
      </c>
      <c r="B168" s="11">
        <v>3</v>
      </c>
      <c r="C168" s="12" t="s">
        <v>322</v>
      </c>
      <c r="D168" s="13" t="s">
        <v>323</v>
      </c>
      <c r="E168" s="80">
        <v>19.188021505999998</v>
      </c>
      <c r="F168" s="80">
        <v>21.083717366999998</v>
      </c>
      <c r="G168" s="80">
        <v>23.374346338999999</v>
      </c>
      <c r="H168" s="80">
        <v>23.294538055</v>
      </c>
      <c r="I168" s="80">
        <v>25.727259398000001</v>
      </c>
      <c r="J168" s="80">
        <v>21.297365111000001</v>
      </c>
      <c r="K168" s="80">
        <v>18.353527658000001</v>
      </c>
      <c r="L168" s="80">
        <v>20.182030693000002</v>
      </c>
      <c r="M168" s="80">
        <v>24.162498727999999</v>
      </c>
      <c r="N168" s="80">
        <v>16.322055609</v>
      </c>
      <c r="O168" s="80">
        <v>17.154195850000001</v>
      </c>
      <c r="P168" s="80">
        <v>19.442257873999999</v>
      </c>
      <c r="Q168" s="80">
        <v>21.829129602999998</v>
      </c>
      <c r="R168" s="80">
        <v>15.472827245</v>
      </c>
      <c r="S168" s="80">
        <v>20.813289945000001</v>
      </c>
      <c r="T168" s="80">
        <v>18.450405726</v>
      </c>
    </row>
    <row r="169" spans="1:20" x14ac:dyDescent="0.2">
      <c r="A169" s="11">
        <v>168</v>
      </c>
      <c r="B169" s="11">
        <v>3</v>
      </c>
      <c r="C169" s="12" t="s">
        <v>324</v>
      </c>
      <c r="D169" s="13" t="s">
        <v>325</v>
      </c>
      <c r="E169" s="80">
        <v>29.195796508000001</v>
      </c>
      <c r="F169" s="80">
        <v>34.892861887000002</v>
      </c>
      <c r="G169" s="80">
        <v>35.168601674999998</v>
      </c>
      <c r="H169" s="80">
        <v>31.651663174999999</v>
      </c>
      <c r="I169" s="80">
        <v>27.005541748999999</v>
      </c>
      <c r="J169" s="80">
        <v>28.675635256</v>
      </c>
      <c r="K169" s="80">
        <v>31.998923955999999</v>
      </c>
      <c r="L169" s="80">
        <v>27.852579151</v>
      </c>
      <c r="M169" s="80">
        <v>31.139992491000001</v>
      </c>
      <c r="N169" s="80">
        <v>28.90553336</v>
      </c>
      <c r="O169" s="80">
        <v>26.981189869000001</v>
      </c>
      <c r="P169" s="80">
        <v>31.808663373000002</v>
      </c>
      <c r="Q169" s="80">
        <v>32.967091154999999</v>
      </c>
      <c r="R169" s="80">
        <v>29.079484870999998</v>
      </c>
      <c r="S169" s="80">
        <v>33.516834539999998</v>
      </c>
      <c r="T169" s="80">
        <v>28.278864659</v>
      </c>
    </row>
    <row r="170" spans="1:20" x14ac:dyDescent="0.2">
      <c r="A170" s="11">
        <v>169</v>
      </c>
      <c r="B170" s="11">
        <v>3</v>
      </c>
      <c r="C170" s="12" t="s">
        <v>326</v>
      </c>
      <c r="D170" s="13" t="s">
        <v>327</v>
      </c>
      <c r="E170" s="80">
        <v>37.211595187</v>
      </c>
      <c r="F170" s="80">
        <v>40.365863804</v>
      </c>
      <c r="G170" s="80">
        <v>45.325961329999998</v>
      </c>
      <c r="H170" s="80">
        <v>43.408361366000001</v>
      </c>
      <c r="I170" s="80">
        <v>39.546337719</v>
      </c>
      <c r="J170" s="80">
        <v>46.999586751999999</v>
      </c>
      <c r="K170" s="80">
        <v>34.821010389000001</v>
      </c>
      <c r="L170" s="80">
        <v>46.150921650000001</v>
      </c>
      <c r="M170" s="80">
        <v>50.147187428999999</v>
      </c>
      <c r="N170" s="80">
        <v>38.473274830000001</v>
      </c>
      <c r="O170" s="80">
        <v>42.896037284999998</v>
      </c>
      <c r="P170" s="80">
        <v>39.821318755</v>
      </c>
      <c r="Q170" s="80">
        <v>42.623084241999997</v>
      </c>
      <c r="R170" s="80">
        <v>41.919110099000001</v>
      </c>
      <c r="S170" s="80">
        <v>41.701467524999998</v>
      </c>
      <c r="T170" s="80">
        <v>37.872937554000004</v>
      </c>
    </row>
    <row r="171" spans="1:20" x14ac:dyDescent="0.2">
      <c r="A171" s="8">
        <v>170</v>
      </c>
      <c r="B171" s="8">
        <v>2</v>
      </c>
      <c r="C171" s="9" t="s">
        <v>328</v>
      </c>
      <c r="D171" s="10" t="s">
        <v>329</v>
      </c>
      <c r="E171" s="79">
        <v>72.429830803000002</v>
      </c>
      <c r="F171" s="79">
        <v>79.163934123999994</v>
      </c>
      <c r="G171" s="79">
        <v>84.264973964000006</v>
      </c>
      <c r="H171" s="79">
        <v>84.013723311999996</v>
      </c>
      <c r="I171" s="79">
        <v>96.063145848000005</v>
      </c>
      <c r="J171" s="79">
        <v>95.518609612999995</v>
      </c>
      <c r="K171" s="79">
        <v>104.53802908999999</v>
      </c>
      <c r="L171" s="79">
        <v>108.43962873</v>
      </c>
      <c r="M171" s="79">
        <v>106.75025350999999</v>
      </c>
      <c r="N171" s="79">
        <v>101.31524353</v>
      </c>
      <c r="O171" s="79">
        <v>104.32765671</v>
      </c>
      <c r="P171" s="79">
        <v>107.16560532</v>
      </c>
      <c r="Q171" s="79">
        <v>76.511258738999999</v>
      </c>
      <c r="R171" s="79">
        <v>89.449648353000001</v>
      </c>
      <c r="S171" s="79">
        <v>118.46847941</v>
      </c>
      <c r="T171" s="79">
        <v>116.97861652</v>
      </c>
    </row>
    <row r="172" spans="1:20" x14ac:dyDescent="0.2">
      <c r="A172" s="11">
        <v>171</v>
      </c>
      <c r="B172" s="11">
        <v>3</v>
      </c>
      <c r="C172" s="12" t="s">
        <v>330</v>
      </c>
      <c r="D172" s="13" t="s">
        <v>331</v>
      </c>
      <c r="E172" s="80">
        <v>2.9038100159</v>
      </c>
      <c r="F172" s="80">
        <v>2.5826704781999998</v>
      </c>
      <c r="G172" s="80">
        <v>3.2885417149</v>
      </c>
      <c r="H172" s="80">
        <v>3.6317238833999999</v>
      </c>
      <c r="I172" s="80">
        <v>3.3744885797999999</v>
      </c>
      <c r="J172" s="80">
        <v>1.0173115862</v>
      </c>
      <c r="K172" s="80">
        <v>3.4121127576000001</v>
      </c>
      <c r="L172" s="80">
        <v>4.6682814001999997</v>
      </c>
      <c r="M172" s="80">
        <v>5.7073267792999998</v>
      </c>
      <c r="N172" s="80">
        <v>2.8506916052000002</v>
      </c>
      <c r="O172" s="80">
        <v>5.7195776680000003</v>
      </c>
      <c r="P172" s="80">
        <v>3.5164802883999999</v>
      </c>
      <c r="Q172" s="80">
        <v>0.50157240020000005</v>
      </c>
      <c r="R172" s="80">
        <v>2.7173238508000002</v>
      </c>
      <c r="S172" s="80">
        <v>0.57031388039999997</v>
      </c>
      <c r="T172" s="80">
        <v>7.6597475644999999</v>
      </c>
    </row>
    <row r="173" spans="1:20" x14ac:dyDescent="0.2">
      <c r="A173" s="11">
        <v>172</v>
      </c>
      <c r="B173" s="11">
        <v>3</v>
      </c>
      <c r="C173" s="12" t="s">
        <v>332</v>
      </c>
      <c r="D173" s="13" t="s">
        <v>333</v>
      </c>
      <c r="E173" s="80">
        <v>9.2890116219000003</v>
      </c>
      <c r="F173" s="80">
        <v>10.052781889</v>
      </c>
      <c r="G173" s="80">
        <v>9.6608224229000008</v>
      </c>
      <c r="H173" s="80">
        <v>16.607902824</v>
      </c>
      <c r="I173" s="80">
        <v>25.294994663000001</v>
      </c>
      <c r="J173" s="80">
        <v>21.54164557</v>
      </c>
      <c r="K173" s="80">
        <v>25.731859712999999</v>
      </c>
      <c r="L173" s="80">
        <v>22.869695254</v>
      </c>
      <c r="M173" s="80">
        <v>31.32666721</v>
      </c>
      <c r="N173" s="80">
        <v>28.750860911</v>
      </c>
      <c r="O173" s="80">
        <v>23.435061507</v>
      </c>
      <c r="P173" s="80">
        <v>23.238221668000001</v>
      </c>
      <c r="Q173" s="80">
        <v>22.565836844</v>
      </c>
      <c r="R173" s="80">
        <v>23.642305035</v>
      </c>
      <c r="S173" s="80">
        <v>32.231381134000003</v>
      </c>
      <c r="T173" s="80">
        <v>42.978868198999997</v>
      </c>
    </row>
    <row r="174" spans="1:20" x14ac:dyDescent="0.2">
      <c r="A174" s="11">
        <v>173</v>
      </c>
      <c r="B174" s="11">
        <v>3</v>
      </c>
      <c r="C174" s="12" t="s">
        <v>334</v>
      </c>
      <c r="D174" s="13" t="s">
        <v>335</v>
      </c>
      <c r="E174" s="80">
        <v>60.479777970000001</v>
      </c>
      <c r="F174" s="80">
        <v>66.789807693</v>
      </c>
      <c r="G174" s="80">
        <v>71.468087378999996</v>
      </c>
      <c r="H174" s="80">
        <v>63.893172833000001</v>
      </c>
      <c r="I174" s="80">
        <v>67.519424318000006</v>
      </c>
      <c r="J174" s="80">
        <v>73.305337812000005</v>
      </c>
      <c r="K174" s="80">
        <v>75.638908537000006</v>
      </c>
      <c r="L174" s="80">
        <v>81.015783389999996</v>
      </c>
      <c r="M174" s="80">
        <v>69.003127691000003</v>
      </c>
      <c r="N174" s="80">
        <v>68.711100797</v>
      </c>
      <c r="O174" s="80">
        <v>74.426375026000002</v>
      </c>
      <c r="P174" s="80">
        <v>79.575098815000004</v>
      </c>
      <c r="Q174" s="80">
        <v>52.631680912999997</v>
      </c>
      <c r="R174" s="80">
        <v>62.627603901000001</v>
      </c>
      <c r="S174" s="80">
        <v>84.214735497000007</v>
      </c>
      <c r="T174" s="80">
        <v>67.458994934000003</v>
      </c>
    </row>
    <row r="175" spans="1:20" x14ac:dyDescent="0.2">
      <c r="A175" s="8">
        <v>174</v>
      </c>
      <c r="B175" s="8">
        <v>2</v>
      </c>
      <c r="C175" s="9" t="s">
        <v>336</v>
      </c>
      <c r="D175" s="10" t="s">
        <v>337</v>
      </c>
      <c r="E175" s="79">
        <v>22.780076440999999</v>
      </c>
      <c r="F175" s="79">
        <v>26.129748179</v>
      </c>
      <c r="G175" s="79">
        <v>25.648886846</v>
      </c>
      <c r="H175" s="79">
        <v>28.855295720000001</v>
      </c>
      <c r="I175" s="79">
        <v>22.682808772000001</v>
      </c>
      <c r="J175" s="79">
        <v>24.266736782999999</v>
      </c>
      <c r="K175" s="79">
        <v>23.394729114</v>
      </c>
      <c r="L175" s="79">
        <v>22.534826950999999</v>
      </c>
      <c r="M175" s="79">
        <v>23.484507333</v>
      </c>
      <c r="N175" s="79">
        <v>26.292741651</v>
      </c>
      <c r="O175" s="79">
        <v>31.166346724</v>
      </c>
      <c r="P175" s="79">
        <v>22.010272874999998</v>
      </c>
      <c r="Q175" s="79">
        <v>22.371645889</v>
      </c>
      <c r="R175" s="79">
        <v>16.488202529999999</v>
      </c>
      <c r="S175" s="79">
        <v>28.575176823</v>
      </c>
      <c r="T175" s="79">
        <v>25.929036787000001</v>
      </c>
    </row>
    <row r="176" spans="1:20" x14ac:dyDescent="0.2">
      <c r="A176" s="11">
        <v>175</v>
      </c>
      <c r="B176" s="11">
        <v>3</v>
      </c>
      <c r="C176" s="12" t="s">
        <v>338</v>
      </c>
      <c r="D176" s="13" t="s">
        <v>337</v>
      </c>
      <c r="E176" s="80">
        <v>22.780076440999999</v>
      </c>
      <c r="F176" s="80">
        <v>26.129748179</v>
      </c>
      <c r="G176" s="80">
        <v>25.648886846</v>
      </c>
      <c r="H176" s="80">
        <v>28.855295720000001</v>
      </c>
      <c r="I176" s="80">
        <v>22.682808772000001</v>
      </c>
      <c r="J176" s="80">
        <v>24.266736782999999</v>
      </c>
      <c r="K176" s="80">
        <v>23.394729114</v>
      </c>
      <c r="L176" s="80">
        <v>22.534826950999999</v>
      </c>
      <c r="M176" s="80">
        <v>23.484507333</v>
      </c>
      <c r="N176" s="80">
        <v>26.292741651</v>
      </c>
      <c r="O176" s="80">
        <v>31.166346724</v>
      </c>
      <c r="P176" s="80">
        <v>22.010272874999998</v>
      </c>
      <c r="Q176" s="80">
        <v>22.371645889</v>
      </c>
      <c r="R176" s="80">
        <v>16.488202529999999</v>
      </c>
      <c r="S176" s="80">
        <v>28.575176823</v>
      </c>
      <c r="T176" s="80">
        <v>25.929036787000001</v>
      </c>
    </row>
    <row r="177" spans="1:20" x14ac:dyDescent="0.2">
      <c r="A177" s="8">
        <v>176</v>
      </c>
      <c r="B177" s="8">
        <v>2</v>
      </c>
      <c r="C177" s="9" t="s">
        <v>339</v>
      </c>
      <c r="D177" s="10" t="s">
        <v>340</v>
      </c>
      <c r="E177" s="79">
        <v>55.813956777000001</v>
      </c>
      <c r="F177" s="79">
        <v>60.366297246999999</v>
      </c>
      <c r="G177" s="79">
        <v>66.298277059</v>
      </c>
      <c r="H177" s="79">
        <v>58.568683391</v>
      </c>
      <c r="I177" s="79">
        <v>73.054849173999997</v>
      </c>
      <c r="J177" s="79">
        <v>64.387173783999998</v>
      </c>
      <c r="K177" s="79">
        <v>62.481741648000003</v>
      </c>
      <c r="L177" s="79">
        <v>64.989233081999998</v>
      </c>
      <c r="M177" s="79">
        <v>67.170663465000004</v>
      </c>
      <c r="N177" s="79">
        <v>56.999646097000003</v>
      </c>
      <c r="O177" s="79">
        <v>59.165986750000002</v>
      </c>
      <c r="P177" s="79">
        <v>62.040091885999999</v>
      </c>
      <c r="Q177" s="79">
        <v>64.521818503000006</v>
      </c>
      <c r="R177" s="79">
        <v>65.925775826000006</v>
      </c>
      <c r="S177" s="79">
        <v>68.025312072999995</v>
      </c>
      <c r="T177" s="79">
        <v>63.574016638000003</v>
      </c>
    </row>
    <row r="178" spans="1:20" x14ac:dyDescent="0.2">
      <c r="A178" s="11">
        <v>177</v>
      </c>
      <c r="B178" s="11">
        <v>3</v>
      </c>
      <c r="C178" s="12" t="s">
        <v>341</v>
      </c>
      <c r="D178" s="13" t="s">
        <v>340</v>
      </c>
      <c r="E178" s="80">
        <v>55.813956777000001</v>
      </c>
      <c r="F178" s="80">
        <v>60.366297246999999</v>
      </c>
      <c r="G178" s="80">
        <v>66.298277059</v>
      </c>
      <c r="H178" s="80">
        <v>58.568683391</v>
      </c>
      <c r="I178" s="80">
        <v>73.054849173999997</v>
      </c>
      <c r="J178" s="80">
        <v>64.387173783999998</v>
      </c>
      <c r="K178" s="80">
        <v>62.481741648000003</v>
      </c>
      <c r="L178" s="80">
        <v>64.989233081999998</v>
      </c>
      <c r="M178" s="80">
        <v>67.170663465000004</v>
      </c>
      <c r="N178" s="80">
        <v>56.999646097000003</v>
      </c>
      <c r="O178" s="80">
        <v>59.165986750000002</v>
      </c>
      <c r="P178" s="80">
        <v>62.040091885999999</v>
      </c>
      <c r="Q178" s="80">
        <v>64.521818503000006</v>
      </c>
      <c r="R178" s="80">
        <v>65.925775826000006</v>
      </c>
      <c r="S178" s="80">
        <v>68.025312072999995</v>
      </c>
      <c r="T178" s="80">
        <v>63.574016638000003</v>
      </c>
    </row>
    <row r="179" spans="1:20" x14ac:dyDescent="0.2">
      <c r="A179" s="8">
        <v>178</v>
      </c>
      <c r="B179" s="8">
        <v>2</v>
      </c>
      <c r="C179" s="9" t="s">
        <v>342</v>
      </c>
      <c r="D179" s="10" t="s">
        <v>343</v>
      </c>
      <c r="E179" s="79">
        <v>80.238918296999998</v>
      </c>
      <c r="F179" s="79">
        <v>81.198072457999999</v>
      </c>
      <c r="G179" s="79">
        <v>89.441756331999997</v>
      </c>
      <c r="H179" s="79">
        <v>81.597365346000004</v>
      </c>
      <c r="I179" s="79">
        <v>83.542627026999995</v>
      </c>
      <c r="J179" s="79">
        <v>89.646101142999996</v>
      </c>
      <c r="K179" s="79">
        <v>84.685038239999997</v>
      </c>
      <c r="L179" s="79">
        <v>82.764360967000002</v>
      </c>
      <c r="M179" s="79">
        <v>86.353448998000005</v>
      </c>
      <c r="N179" s="79">
        <v>81.063040791000006</v>
      </c>
      <c r="O179" s="79">
        <v>79.937829418000007</v>
      </c>
      <c r="P179" s="79">
        <v>72.947340210999997</v>
      </c>
      <c r="Q179" s="79">
        <v>72.554832407000006</v>
      </c>
      <c r="R179" s="79">
        <v>89.036594617999995</v>
      </c>
      <c r="S179" s="79">
        <v>86.095086343999995</v>
      </c>
      <c r="T179" s="79">
        <v>91.467706935999999</v>
      </c>
    </row>
    <row r="180" spans="1:20" x14ac:dyDescent="0.2">
      <c r="A180" s="11">
        <v>179</v>
      </c>
      <c r="B180" s="11">
        <v>3</v>
      </c>
      <c r="C180" s="12" t="s">
        <v>344</v>
      </c>
      <c r="D180" s="13" t="s">
        <v>345</v>
      </c>
      <c r="E180" s="80">
        <v>0.30314118449999999</v>
      </c>
      <c r="F180" s="80">
        <v>0.1089904671</v>
      </c>
      <c r="G180" s="80">
        <v>0.1096084714</v>
      </c>
      <c r="H180" s="80">
        <v>0.900674804</v>
      </c>
      <c r="I180" s="80">
        <v>0.11364886740000001</v>
      </c>
      <c r="J180" s="80">
        <v>0.53513074289999996</v>
      </c>
      <c r="K180" s="80">
        <v>0.382517838</v>
      </c>
      <c r="L180" s="80">
        <v>0.1234334287</v>
      </c>
      <c r="M180" s="80">
        <v>0.42822915610000001</v>
      </c>
      <c r="N180" s="80">
        <v>0.86808096999999995</v>
      </c>
      <c r="O180" s="80">
        <v>9.1247922199999998E-2</v>
      </c>
      <c r="P180" s="80">
        <v>0.33225863770000003</v>
      </c>
      <c r="Q180" s="80">
        <v>3.3352478874</v>
      </c>
      <c r="R180" s="80">
        <v>3.6653576476</v>
      </c>
      <c r="S180" s="80">
        <v>2.8610673035</v>
      </c>
      <c r="T180" s="80">
        <v>3.9546682117</v>
      </c>
    </row>
    <row r="181" spans="1:20" x14ac:dyDescent="0.2">
      <c r="A181" s="11">
        <v>180</v>
      </c>
      <c r="B181" s="11">
        <v>3</v>
      </c>
      <c r="C181" s="12" t="s">
        <v>346</v>
      </c>
      <c r="D181" s="13" t="s">
        <v>347</v>
      </c>
      <c r="E181" s="80">
        <v>18.803245185000002</v>
      </c>
      <c r="F181" s="80">
        <v>17.541193058000001</v>
      </c>
      <c r="G181" s="80">
        <v>19.771940961999999</v>
      </c>
      <c r="H181" s="80">
        <v>13.049646007</v>
      </c>
      <c r="I181" s="80">
        <v>19.599688302000001</v>
      </c>
      <c r="J181" s="80">
        <v>18.660691748000001</v>
      </c>
      <c r="K181" s="80">
        <v>20.398745837</v>
      </c>
      <c r="L181" s="80">
        <v>18.627419371999999</v>
      </c>
      <c r="M181" s="80">
        <v>11.257459172000001</v>
      </c>
      <c r="N181" s="80">
        <v>15.679595222</v>
      </c>
      <c r="O181" s="80">
        <v>9.9866179450000008</v>
      </c>
      <c r="P181" s="80">
        <v>17.702293108999999</v>
      </c>
      <c r="Q181" s="80">
        <v>19.020353153999999</v>
      </c>
      <c r="R181" s="80">
        <v>12.835700743</v>
      </c>
      <c r="S181" s="80">
        <v>17.296831353999998</v>
      </c>
      <c r="T181" s="80">
        <v>15.717891069</v>
      </c>
    </row>
    <row r="182" spans="1:20" x14ac:dyDescent="0.2">
      <c r="A182" s="11">
        <v>181</v>
      </c>
      <c r="B182" s="11">
        <v>3</v>
      </c>
      <c r="C182" s="12" t="s">
        <v>348</v>
      </c>
      <c r="D182" s="13" t="s">
        <v>349</v>
      </c>
      <c r="E182" s="80">
        <v>18.124913636999999</v>
      </c>
      <c r="F182" s="80">
        <v>18.033443385999998</v>
      </c>
      <c r="G182" s="80">
        <v>19.045451580999998</v>
      </c>
      <c r="H182" s="80">
        <v>22.353714290999999</v>
      </c>
      <c r="I182" s="80">
        <v>21.193836854000001</v>
      </c>
      <c r="J182" s="80">
        <v>22.438798939000002</v>
      </c>
      <c r="K182" s="80">
        <v>19.935267285999998</v>
      </c>
      <c r="L182" s="80">
        <v>13.951269913999999</v>
      </c>
      <c r="M182" s="80">
        <v>26.141720250999999</v>
      </c>
      <c r="N182" s="80">
        <v>22.180530749999999</v>
      </c>
      <c r="O182" s="80">
        <v>19.092605167999999</v>
      </c>
      <c r="P182" s="80">
        <v>17.915578708999998</v>
      </c>
      <c r="Q182" s="80">
        <v>19.571202254999999</v>
      </c>
      <c r="R182" s="80">
        <v>25.685198983999999</v>
      </c>
      <c r="S182" s="80">
        <v>24.646430584000001</v>
      </c>
      <c r="T182" s="80">
        <v>29.014490887000001</v>
      </c>
    </row>
    <row r="183" spans="1:20" x14ac:dyDescent="0.2">
      <c r="A183" s="11">
        <v>182</v>
      </c>
      <c r="B183" s="11">
        <v>3</v>
      </c>
      <c r="C183" s="12" t="s">
        <v>350</v>
      </c>
      <c r="D183" s="13" t="s">
        <v>351</v>
      </c>
      <c r="E183" s="80">
        <v>42.870343286999997</v>
      </c>
      <c r="F183" s="80">
        <v>45.266231046000001</v>
      </c>
      <c r="G183" s="80">
        <v>50.302261715999997</v>
      </c>
      <c r="H183" s="80">
        <v>45.139332779</v>
      </c>
      <c r="I183" s="80">
        <v>42.514549635999998</v>
      </c>
      <c r="J183" s="80">
        <v>47.706761405000002</v>
      </c>
      <c r="K183" s="80">
        <v>43.194569528999999</v>
      </c>
      <c r="L183" s="80">
        <v>50.114157935000001</v>
      </c>
      <c r="M183" s="80">
        <v>48.039180729999998</v>
      </c>
      <c r="N183" s="80">
        <v>42.593946330000001</v>
      </c>
      <c r="O183" s="80">
        <v>52.646010871000001</v>
      </c>
      <c r="P183" s="80">
        <v>38.321823068999997</v>
      </c>
      <c r="Q183" s="80">
        <v>30.583647988999999</v>
      </c>
      <c r="R183" s="80">
        <v>48.093110629000002</v>
      </c>
      <c r="S183" s="80">
        <v>41.718480647</v>
      </c>
      <c r="T183" s="80">
        <v>43.514507213999998</v>
      </c>
    </row>
    <row r="184" spans="1:20" x14ac:dyDescent="0.2">
      <c r="A184" s="8">
        <v>183</v>
      </c>
      <c r="B184" s="8">
        <v>2</v>
      </c>
      <c r="C184" s="9" t="s">
        <v>352</v>
      </c>
      <c r="D184" s="10" t="s">
        <v>353</v>
      </c>
      <c r="E184" s="79">
        <v>3.2167336308999999</v>
      </c>
      <c r="F184" s="79">
        <v>3.5701061973999999</v>
      </c>
      <c r="G184" s="79">
        <v>6.3711163895</v>
      </c>
      <c r="H184" s="79">
        <v>8.3684700414000002</v>
      </c>
      <c r="I184" s="79">
        <v>8.0912104904</v>
      </c>
      <c r="J184" s="79">
        <v>11.181102958</v>
      </c>
      <c r="K184" s="79">
        <v>7.4108844713000002</v>
      </c>
      <c r="L184" s="79">
        <v>7.0228999585</v>
      </c>
      <c r="M184" s="79">
        <v>7.4396966103000004</v>
      </c>
      <c r="N184" s="79">
        <v>6.3067244841000001</v>
      </c>
      <c r="O184" s="79">
        <v>6.6547991863</v>
      </c>
      <c r="P184" s="79">
        <v>7.1758894993000002</v>
      </c>
      <c r="Q184" s="79">
        <v>4.9536983360000004</v>
      </c>
      <c r="R184" s="79">
        <v>10.451169607000001</v>
      </c>
      <c r="S184" s="79">
        <v>7.3697626991999998</v>
      </c>
      <c r="T184" s="79">
        <v>8.0072962939999996</v>
      </c>
    </row>
    <row r="185" spans="1:20" x14ac:dyDescent="0.2">
      <c r="A185" s="11">
        <v>184</v>
      </c>
      <c r="B185" s="11">
        <v>3</v>
      </c>
      <c r="C185" s="12" t="s">
        <v>354</v>
      </c>
      <c r="D185" s="13" t="s">
        <v>353</v>
      </c>
      <c r="E185" s="80">
        <v>3.2167336308999999</v>
      </c>
      <c r="F185" s="80">
        <v>3.5701061973999999</v>
      </c>
      <c r="G185" s="80">
        <v>6.3711163895</v>
      </c>
      <c r="H185" s="80">
        <v>8.3684700414000002</v>
      </c>
      <c r="I185" s="80">
        <v>8.0912104904</v>
      </c>
      <c r="J185" s="80">
        <v>11.181102958</v>
      </c>
      <c r="K185" s="80">
        <v>7.4108844713000002</v>
      </c>
      <c r="L185" s="80">
        <v>7.0228999585</v>
      </c>
      <c r="M185" s="80">
        <v>7.4396966103000004</v>
      </c>
      <c r="N185" s="80">
        <v>6.3067244841000001</v>
      </c>
      <c r="O185" s="80">
        <v>6.6547991863</v>
      </c>
      <c r="P185" s="80">
        <v>7.1758894993000002</v>
      </c>
      <c r="Q185" s="80">
        <v>4.9536983360000004</v>
      </c>
      <c r="R185" s="80">
        <v>10.451169607000001</v>
      </c>
      <c r="S185" s="80">
        <v>7.3697626991999998</v>
      </c>
      <c r="T185" s="80">
        <v>8.0072962939999996</v>
      </c>
    </row>
    <row r="186" spans="1:20" x14ac:dyDescent="0.2">
      <c r="A186" s="8">
        <v>185</v>
      </c>
      <c r="B186" s="8">
        <v>2</v>
      </c>
      <c r="C186" s="9" t="s">
        <v>355</v>
      </c>
      <c r="D186" s="10" t="s">
        <v>356</v>
      </c>
      <c r="E186" s="79">
        <v>44.938344880999999</v>
      </c>
      <c r="F186" s="79">
        <v>42.250769019000003</v>
      </c>
      <c r="G186" s="79">
        <v>27.610829874</v>
      </c>
      <c r="H186" s="79">
        <v>39.685941098000001</v>
      </c>
      <c r="I186" s="79">
        <v>25.960833896</v>
      </c>
      <c r="J186" s="79">
        <v>23.384606375000001</v>
      </c>
      <c r="K186" s="79">
        <v>26.135827760000002</v>
      </c>
      <c r="L186" s="79">
        <v>22.58633596</v>
      </c>
      <c r="M186" s="79">
        <v>32.470378123000003</v>
      </c>
      <c r="N186" s="79">
        <v>30.491852175999998</v>
      </c>
      <c r="O186" s="79">
        <v>26.167119379999999</v>
      </c>
      <c r="P186" s="79">
        <v>18.644910632999999</v>
      </c>
      <c r="Q186" s="79">
        <v>9.7525097966000001</v>
      </c>
      <c r="R186" s="79">
        <v>1.4143642324000001</v>
      </c>
      <c r="S186" s="79">
        <v>0.71838464729999996</v>
      </c>
      <c r="T186" s="79">
        <v>9.3805867000000001E-2</v>
      </c>
    </row>
    <row r="187" spans="1:20" x14ac:dyDescent="0.2">
      <c r="A187" s="11">
        <v>186</v>
      </c>
      <c r="B187" s="11">
        <v>3</v>
      </c>
      <c r="C187" s="12" t="s">
        <v>357</v>
      </c>
      <c r="D187" s="13" t="s">
        <v>356</v>
      </c>
      <c r="E187" s="80">
        <v>44.938344880999999</v>
      </c>
      <c r="F187" s="80">
        <v>42.250769019000003</v>
      </c>
      <c r="G187" s="80">
        <v>27.610829874</v>
      </c>
      <c r="H187" s="80">
        <v>39.685941098000001</v>
      </c>
      <c r="I187" s="80">
        <v>25.960833896</v>
      </c>
      <c r="J187" s="80">
        <v>23.384606375000001</v>
      </c>
      <c r="K187" s="80">
        <v>26.135827760000002</v>
      </c>
      <c r="L187" s="80">
        <v>22.58633596</v>
      </c>
      <c r="M187" s="80">
        <v>32.470378123000003</v>
      </c>
      <c r="N187" s="80">
        <v>30.491852175999998</v>
      </c>
      <c r="O187" s="80">
        <v>26.167119379999999</v>
      </c>
      <c r="P187" s="80">
        <v>18.644910632999999</v>
      </c>
      <c r="Q187" s="80">
        <v>9.7525097966000001</v>
      </c>
      <c r="R187" s="80">
        <v>1.4143642324000001</v>
      </c>
      <c r="S187" s="80">
        <v>0.71838464729999996</v>
      </c>
      <c r="T187" s="80">
        <v>9.3805867000000001E-2</v>
      </c>
    </row>
    <row r="188" spans="1:20" ht="15" x14ac:dyDescent="0.25">
      <c r="A188" s="4">
        <v>187</v>
      </c>
      <c r="B188" s="4">
        <v>1</v>
      </c>
      <c r="C188" s="5" t="s">
        <v>358</v>
      </c>
      <c r="D188" s="6" t="s">
        <v>359</v>
      </c>
      <c r="E188" s="78">
        <v>1181.8399302</v>
      </c>
      <c r="F188" s="78">
        <v>1158.0648807</v>
      </c>
      <c r="G188" s="78">
        <v>1170.3283360999999</v>
      </c>
      <c r="H188" s="78">
        <v>1226.0009987000001</v>
      </c>
      <c r="I188" s="78">
        <v>1208.0733926</v>
      </c>
      <c r="J188" s="78">
        <v>1176.0580236999999</v>
      </c>
      <c r="K188" s="78">
        <v>1206.3908702000001</v>
      </c>
      <c r="L188" s="78">
        <v>1197.9397245</v>
      </c>
      <c r="M188" s="78">
        <v>1245.6600662999999</v>
      </c>
      <c r="N188" s="78">
        <v>1242.9776440000001</v>
      </c>
      <c r="O188" s="78">
        <v>1222.9368406999999</v>
      </c>
      <c r="P188" s="78">
        <v>1256.5278894999999</v>
      </c>
      <c r="Q188" s="78">
        <v>1276.5744311999999</v>
      </c>
      <c r="R188" s="78">
        <v>1276.5899919000001</v>
      </c>
      <c r="S188" s="78">
        <v>1298.3943015</v>
      </c>
      <c r="T188" s="78">
        <v>1189.0949873</v>
      </c>
    </row>
    <row r="189" spans="1:20" x14ac:dyDescent="0.2">
      <c r="A189" s="8">
        <v>188</v>
      </c>
      <c r="B189" s="8">
        <v>2</v>
      </c>
      <c r="C189" s="9" t="s">
        <v>360</v>
      </c>
      <c r="D189" s="10" t="s">
        <v>361</v>
      </c>
      <c r="E189" s="79">
        <v>95.277050076999998</v>
      </c>
      <c r="F189" s="79">
        <v>90.883669368</v>
      </c>
      <c r="G189" s="79">
        <v>84.588008114999994</v>
      </c>
      <c r="H189" s="79">
        <v>91.166601213999996</v>
      </c>
      <c r="I189" s="79">
        <v>91.902606969000004</v>
      </c>
      <c r="J189" s="79">
        <v>87.970188781999994</v>
      </c>
      <c r="K189" s="79">
        <v>97.874369582</v>
      </c>
      <c r="L189" s="79">
        <v>88.933778171</v>
      </c>
      <c r="M189" s="79">
        <v>93.077665803000002</v>
      </c>
      <c r="N189" s="79">
        <v>95.989031913000005</v>
      </c>
      <c r="O189" s="79">
        <v>104.4346443</v>
      </c>
      <c r="P189" s="79">
        <v>86.864326003000002</v>
      </c>
      <c r="Q189" s="79">
        <v>108.99233434</v>
      </c>
      <c r="R189" s="79">
        <v>102.89753666999999</v>
      </c>
      <c r="S189" s="79">
        <v>106.03566366</v>
      </c>
      <c r="T189" s="79">
        <v>93.675805206999996</v>
      </c>
    </row>
    <row r="190" spans="1:20" x14ac:dyDescent="0.2">
      <c r="A190" s="11">
        <v>189</v>
      </c>
      <c r="B190" s="11">
        <v>3</v>
      </c>
      <c r="C190" s="12" t="s">
        <v>362</v>
      </c>
      <c r="D190" s="13" t="s">
        <v>363</v>
      </c>
      <c r="E190" s="80">
        <v>0.110179904</v>
      </c>
      <c r="F190" s="80">
        <v>0.1059009682</v>
      </c>
      <c r="G190" s="80">
        <v>0.1004488704</v>
      </c>
      <c r="H190" s="80">
        <v>9.5152307000000005E-2</v>
      </c>
      <c r="I190" s="80">
        <v>0.46724340650000001</v>
      </c>
      <c r="J190" s="80">
        <v>8.8803245899999994E-2</v>
      </c>
      <c r="K190" s="80">
        <v>8.8509014999999996E-2</v>
      </c>
      <c r="L190" s="80">
        <v>8.8956966499999998E-2</v>
      </c>
      <c r="M190" s="80">
        <v>0.29295227060000001</v>
      </c>
      <c r="N190" s="80">
        <v>8.95567523E-2</v>
      </c>
      <c r="O190" s="80">
        <v>8.8864712200000001E-2</v>
      </c>
      <c r="P190" s="80">
        <v>8.6576262299999998E-2</v>
      </c>
      <c r="Q190" s="80">
        <v>8.3755711799999993E-2</v>
      </c>
      <c r="R190" s="80">
        <v>0.36658792620000002</v>
      </c>
      <c r="S190" s="80">
        <v>7.8513943899999994E-2</v>
      </c>
      <c r="T190" s="80">
        <v>7.7425656499999995E-2</v>
      </c>
    </row>
    <row r="191" spans="1:20" x14ac:dyDescent="0.2">
      <c r="A191" s="11">
        <v>190</v>
      </c>
      <c r="B191" s="11">
        <v>3</v>
      </c>
      <c r="C191" s="12" t="s">
        <v>364</v>
      </c>
      <c r="D191" s="13" t="s">
        <v>365</v>
      </c>
      <c r="E191" s="80">
        <v>74.069285995000001</v>
      </c>
      <c r="F191" s="80">
        <v>67.663250930000004</v>
      </c>
      <c r="G191" s="80">
        <v>64.017230619000003</v>
      </c>
      <c r="H191" s="80">
        <v>68.110330239000007</v>
      </c>
      <c r="I191" s="80">
        <v>69.588347646000003</v>
      </c>
      <c r="J191" s="80">
        <v>60.184020052000001</v>
      </c>
      <c r="K191" s="80">
        <v>70.081562276</v>
      </c>
      <c r="L191" s="80">
        <v>60.001823635999997</v>
      </c>
      <c r="M191" s="80">
        <v>66.712812040000003</v>
      </c>
      <c r="N191" s="80">
        <v>76.351672178000001</v>
      </c>
      <c r="O191" s="80">
        <v>76.516614511</v>
      </c>
      <c r="P191" s="80">
        <v>64.325509933000006</v>
      </c>
      <c r="Q191" s="80">
        <v>75.591939061999994</v>
      </c>
      <c r="R191" s="80">
        <v>73.963399436000003</v>
      </c>
      <c r="S191" s="80">
        <v>77.785402984000001</v>
      </c>
      <c r="T191" s="80">
        <v>65.084380148999998</v>
      </c>
    </row>
    <row r="192" spans="1:20" x14ac:dyDescent="0.2">
      <c r="A192" s="11">
        <v>191</v>
      </c>
      <c r="B192" s="11">
        <v>3</v>
      </c>
      <c r="C192" s="12" t="s">
        <v>366</v>
      </c>
      <c r="D192" s="13" t="s">
        <v>367</v>
      </c>
      <c r="E192" s="80">
        <v>21.222702054999999</v>
      </c>
      <c r="F192" s="80">
        <v>23.480095281000001</v>
      </c>
      <c r="G192" s="80">
        <v>20.833022631999999</v>
      </c>
      <c r="H192" s="80">
        <v>23.254701478000001</v>
      </c>
      <c r="I192" s="80">
        <v>21.555608518</v>
      </c>
      <c r="J192" s="80">
        <v>27.339759305000001</v>
      </c>
      <c r="K192" s="80">
        <v>27.424103877</v>
      </c>
      <c r="L192" s="80">
        <v>29.033953993000001</v>
      </c>
      <c r="M192" s="80">
        <v>26.987487257000002</v>
      </c>
      <c r="N192" s="80">
        <v>21.205297040000001</v>
      </c>
      <c r="O192" s="80">
        <v>30.394948365000001</v>
      </c>
      <c r="P192" s="80">
        <v>24.657904735999999</v>
      </c>
      <c r="Q192" s="80">
        <v>36.587068125000002</v>
      </c>
      <c r="R192" s="80">
        <v>31.286266006000002</v>
      </c>
      <c r="S192" s="80">
        <v>30.918256219</v>
      </c>
      <c r="T192" s="80">
        <v>30.690376585999999</v>
      </c>
    </row>
    <row r="193" spans="1:20" x14ac:dyDescent="0.2">
      <c r="A193" s="8">
        <v>192</v>
      </c>
      <c r="B193" s="8">
        <v>2</v>
      </c>
      <c r="C193" s="9" t="s">
        <v>368</v>
      </c>
      <c r="D193" s="10" t="s">
        <v>369</v>
      </c>
      <c r="E193" s="79">
        <v>40.879953196999999</v>
      </c>
      <c r="F193" s="79">
        <v>43.376723878</v>
      </c>
      <c r="G193" s="79">
        <v>37.843676221999999</v>
      </c>
      <c r="H193" s="79">
        <v>37.404639013999997</v>
      </c>
      <c r="I193" s="79">
        <v>34.572877093000002</v>
      </c>
      <c r="J193" s="79">
        <v>29.994787952999999</v>
      </c>
      <c r="K193" s="79">
        <v>35.387713718000001</v>
      </c>
      <c r="L193" s="79">
        <v>35.779617494</v>
      </c>
      <c r="M193" s="79">
        <v>33.895539431000003</v>
      </c>
      <c r="N193" s="79">
        <v>36.773006389999999</v>
      </c>
      <c r="O193" s="79">
        <v>36.505615616999997</v>
      </c>
      <c r="P193" s="79">
        <v>33.477619803000003</v>
      </c>
      <c r="Q193" s="79">
        <v>36.321100897999997</v>
      </c>
      <c r="R193" s="79">
        <v>38.712205916999999</v>
      </c>
      <c r="S193" s="79">
        <v>43.62630747</v>
      </c>
      <c r="T193" s="79">
        <v>30.826674055000002</v>
      </c>
    </row>
    <row r="194" spans="1:20" x14ac:dyDescent="0.2">
      <c r="A194" s="11">
        <v>193</v>
      </c>
      <c r="B194" s="11">
        <v>3</v>
      </c>
      <c r="C194" s="12" t="s">
        <v>370</v>
      </c>
      <c r="D194" s="13" t="s">
        <v>369</v>
      </c>
      <c r="E194" s="80">
        <v>40.879953196999999</v>
      </c>
      <c r="F194" s="80">
        <v>43.376723878</v>
      </c>
      <c r="G194" s="80">
        <v>37.843676221999999</v>
      </c>
      <c r="H194" s="80">
        <v>37.404639013999997</v>
      </c>
      <c r="I194" s="80">
        <v>34.572877093000002</v>
      </c>
      <c r="J194" s="80">
        <v>29.994787952999999</v>
      </c>
      <c r="K194" s="80">
        <v>35.387713718000001</v>
      </c>
      <c r="L194" s="80">
        <v>35.779617494</v>
      </c>
      <c r="M194" s="80">
        <v>33.895539431000003</v>
      </c>
      <c r="N194" s="80">
        <v>36.773006389999999</v>
      </c>
      <c r="O194" s="80">
        <v>36.505615616999997</v>
      </c>
      <c r="P194" s="80">
        <v>33.477619803000003</v>
      </c>
      <c r="Q194" s="80">
        <v>36.321100897999997</v>
      </c>
      <c r="R194" s="80">
        <v>38.712205916999999</v>
      </c>
      <c r="S194" s="80">
        <v>43.62630747</v>
      </c>
      <c r="T194" s="80">
        <v>30.826674055000002</v>
      </c>
    </row>
    <row r="195" spans="1:20" x14ac:dyDescent="0.2">
      <c r="A195" s="8">
        <v>194</v>
      </c>
      <c r="B195" s="8">
        <v>2</v>
      </c>
      <c r="C195" s="9" t="s">
        <v>371</v>
      </c>
      <c r="D195" s="10" t="s">
        <v>372</v>
      </c>
      <c r="E195" s="79">
        <v>344.08577731000003</v>
      </c>
      <c r="F195" s="79">
        <v>351.65481419000002</v>
      </c>
      <c r="G195" s="79">
        <v>347.36932995000001</v>
      </c>
      <c r="H195" s="79">
        <v>371.95726983999998</v>
      </c>
      <c r="I195" s="79">
        <v>405.37317926999998</v>
      </c>
      <c r="J195" s="79">
        <v>373.07647986000001</v>
      </c>
      <c r="K195" s="79">
        <v>381.95312366000002</v>
      </c>
      <c r="L195" s="79">
        <v>376.19611859000003</v>
      </c>
      <c r="M195" s="79">
        <v>390.66069947</v>
      </c>
      <c r="N195" s="79">
        <v>386.60708536999999</v>
      </c>
      <c r="O195" s="79">
        <v>370.44048313000002</v>
      </c>
      <c r="P195" s="79">
        <v>404.63439452</v>
      </c>
      <c r="Q195" s="79">
        <v>399.29151899999999</v>
      </c>
      <c r="R195" s="79">
        <v>406.32129187999999</v>
      </c>
      <c r="S195" s="79">
        <v>409.10887649</v>
      </c>
      <c r="T195" s="79">
        <v>386.83616856999998</v>
      </c>
    </row>
    <row r="196" spans="1:20" x14ac:dyDescent="0.2">
      <c r="A196" s="11">
        <v>195</v>
      </c>
      <c r="B196" s="11">
        <v>3</v>
      </c>
      <c r="C196" s="12" t="s">
        <v>373</v>
      </c>
      <c r="D196" s="13" t="s">
        <v>374</v>
      </c>
      <c r="E196" s="80">
        <v>5.5360024709999998</v>
      </c>
      <c r="F196" s="80">
        <v>2.5410968618999998</v>
      </c>
      <c r="G196" s="80">
        <v>3.1034438412999998</v>
      </c>
      <c r="H196" s="80">
        <v>1.7539633177</v>
      </c>
      <c r="I196" s="80">
        <v>2.6970464319</v>
      </c>
      <c r="J196" s="80">
        <v>4.4336837428999996</v>
      </c>
      <c r="K196" s="80">
        <v>2.9677511749000001</v>
      </c>
      <c r="L196" s="80">
        <v>4.3074353018</v>
      </c>
      <c r="M196" s="80">
        <v>7.9402664029999999</v>
      </c>
      <c r="N196" s="80">
        <v>6.7341541223999997</v>
      </c>
      <c r="O196" s="80">
        <v>9.8853977034000007</v>
      </c>
      <c r="P196" s="80">
        <v>10.214014501999999</v>
      </c>
      <c r="Q196" s="80">
        <v>8.5715288340000004</v>
      </c>
      <c r="R196" s="80">
        <v>1.5787348035</v>
      </c>
      <c r="S196" s="80">
        <v>2.7089246159</v>
      </c>
      <c r="T196" s="80">
        <v>7.0734327282000002</v>
      </c>
    </row>
    <row r="197" spans="1:20" x14ac:dyDescent="0.2">
      <c r="A197" s="11">
        <v>196</v>
      </c>
      <c r="B197" s="11">
        <v>3</v>
      </c>
      <c r="C197" s="12" t="s">
        <v>375</v>
      </c>
      <c r="D197" s="13" t="s">
        <v>376</v>
      </c>
      <c r="E197" s="80">
        <v>249.71671574000001</v>
      </c>
      <c r="F197" s="80">
        <v>258.67332849000002</v>
      </c>
      <c r="G197" s="80">
        <v>261.47762619000002</v>
      </c>
      <c r="H197" s="80">
        <v>273.44634295999998</v>
      </c>
      <c r="I197" s="80">
        <v>293.1214142</v>
      </c>
      <c r="J197" s="80">
        <v>265.56656248000002</v>
      </c>
      <c r="K197" s="80">
        <v>261.64461681</v>
      </c>
      <c r="L197" s="80">
        <v>278.70337391999999</v>
      </c>
      <c r="M197" s="80">
        <v>280.96792361000001</v>
      </c>
      <c r="N197" s="80">
        <v>280.35118958999999</v>
      </c>
      <c r="O197" s="80">
        <v>264.21406512999999</v>
      </c>
      <c r="P197" s="80">
        <v>297.29083661999999</v>
      </c>
      <c r="Q197" s="80">
        <v>295.47951953</v>
      </c>
      <c r="R197" s="80">
        <v>310.87767958000001</v>
      </c>
      <c r="S197" s="80">
        <v>302.02329548</v>
      </c>
      <c r="T197" s="80">
        <v>301.31883894999999</v>
      </c>
    </row>
    <row r="198" spans="1:20" x14ac:dyDescent="0.2">
      <c r="A198" s="11">
        <v>197</v>
      </c>
      <c r="B198" s="11">
        <v>3</v>
      </c>
      <c r="C198" s="12" t="s">
        <v>377</v>
      </c>
      <c r="D198" s="13" t="s">
        <v>378</v>
      </c>
      <c r="E198" s="80">
        <v>89.910365029000005</v>
      </c>
      <c r="F198" s="80">
        <v>90.814707431000002</v>
      </c>
      <c r="G198" s="80">
        <v>82.925469864999997</v>
      </c>
      <c r="H198" s="80">
        <v>96.624989264999996</v>
      </c>
      <c r="I198" s="80">
        <v>108.99923422000001</v>
      </c>
      <c r="J198" s="80">
        <v>102.18716316</v>
      </c>
      <c r="K198" s="80">
        <v>116.56345182</v>
      </c>
      <c r="L198" s="80">
        <v>92.740679369000006</v>
      </c>
      <c r="M198" s="80">
        <v>101.63296172</v>
      </c>
      <c r="N198" s="80">
        <v>99.700391964999994</v>
      </c>
      <c r="O198" s="80">
        <v>96.947907162999996</v>
      </c>
      <c r="P198" s="80">
        <v>98.748275735999997</v>
      </c>
      <c r="Q198" s="80">
        <v>97.564101753000003</v>
      </c>
      <c r="R198" s="80">
        <v>95.976544438999994</v>
      </c>
      <c r="S198" s="80">
        <v>106.78419312</v>
      </c>
      <c r="T198" s="80">
        <v>82.267434457999997</v>
      </c>
    </row>
    <row r="199" spans="1:20" x14ac:dyDescent="0.2">
      <c r="A199" s="8">
        <v>198</v>
      </c>
      <c r="B199" s="8">
        <v>2</v>
      </c>
      <c r="C199" s="9" t="s">
        <v>379</v>
      </c>
      <c r="D199" s="10" t="s">
        <v>380</v>
      </c>
      <c r="E199" s="79">
        <v>657.83615511999994</v>
      </c>
      <c r="F199" s="79">
        <v>631.24616187000004</v>
      </c>
      <c r="G199" s="79">
        <v>659.39724140999999</v>
      </c>
      <c r="H199" s="79">
        <v>679.75383006000004</v>
      </c>
      <c r="I199" s="79">
        <v>631.11363399000004</v>
      </c>
      <c r="J199" s="79">
        <v>639.35150055999998</v>
      </c>
      <c r="K199" s="79">
        <v>645.18851703999997</v>
      </c>
      <c r="L199" s="79">
        <v>637.24099994999995</v>
      </c>
      <c r="M199" s="79">
        <v>630.02454993000003</v>
      </c>
      <c r="N199" s="79">
        <v>654.40519468000002</v>
      </c>
      <c r="O199" s="79">
        <v>626.21941063999998</v>
      </c>
      <c r="P199" s="79">
        <v>661.54454061000001</v>
      </c>
      <c r="Q199" s="79">
        <v>667.0026775</v>
      </c>
      <c r="R199" s="79">
        <v>693.55486246999999</v>
      </c>
      <c r="S199" s="79">
        <v>704.95811577999996</v>
      </c>
      <c r="T199" s="79">
        <v>641.05591257000003</v>
      </c>
    </row>
    <row r="200" spans="1:20" x14ac:dyDescent="0.2">
      <c r="A200" s="11">
        <v>199</v>
      </c>
      <c r="B200" s="11">
        <v>3</v>
      </c>
      <c r="C200" s="12" t="s">
        <v>381</v>
      </c>
      <c r="D200" s="13" t="s">
        <v>382</v>
      </c>
      <c r="E200" s="80">
        <v>1.1150792348</v>
      </c>
      <c r="F200" s="80">
        <v>1.5247515993</v>
      </c>
      <c r="G200" s="80">
        <v>1.5167686421</v>
      </c>
      <c r="H200" s="80">
        <v>0.83265475109999998</v>
      </c>
      <c r="I200" s="80">
        <v>0.93681394149999997</v>
      </c>
      <c r="J200" s="80">
        <v>1.0088026232</v>
      </c>
      <c r="K200" s="80">
        <v>2.0967257138000002</v>
      </c>
      <c r="L200" s="80">
        <v>0.45425658359999999</v>
      </c>
      <c r="M200" s="80">
        <v>0.89795205469999995</v>
      </c>
      <c r="N200" s="80">
        <v>0.9793775535</v>
      </c>
      <c r="O200" s="80">
        <v>0.1996606625</v>
      </c>
      <c r="P200" s="80">
        <v>1.9551410887</v>
      </c>
      <c r="Q200" s="80">
        <v>7.6883373851999997</v>
      </c>
      <c r="R200" s="80">
        <v>8.1270329624999995</v>
      </c>
      <c r="S200" s="80">
        <v>6.2576588673</v>
      </c>
      <c r="T200" s="80">
        <v>5.6344375846999997</v>
      </c>
    </row>
    <row r="201" spans="1:20" x14ac:dyDescent="0.2">
      <c r="A201" s="11">
        <v>200</v>
      </c>
      <c r="B201" s="11">
        <v>3</v>
      </c>
      <c r="C201" s="12" t="s">
        <v>383</v>
      </c>
      <c r="D201" s="13" t="s">
        <v>384</v>
      </c>
      <c r="E201" s="80">
        <v>52.587063121</v>
      </c>
      <c r="F201" s="80">
        <v>47.138521466999997</v>
      </c>
      <c r="G201" s="80">
        <v>49.844653723999997</v>
      </c>
      <c r="H201" s="80">
        <v>49.001221962000002</v>
      </c>
      <c r="I201" s="80">
        <v>47.039492398999997</v>
      </c>
      <c r="J201" s="80">
        <v>46.956669867000002</v>
      </c>
      <c r="K201" s="80">
        <v>42.058415328000002</v>
      </c>
      <c r="L201" s="80">
        <v>40.013110625000003</v>
      </c>
      <c r="M201" s="80">
        <v>41.398117544999998</v>
      </c>
      <c r="N201" s="80">
        <v>46.278467147000001</v>
      </c>
      <c r="O201" s="80">
        <v>41.265334287999998</v>
      </c>
      <c r="P201" s="80">
        <v>49.909513201999999</v>
      </c>
      <c r="Q201" s="80">
        <v>53.962187956999998</v>
      </c>
      <c r="R201" s="80">
        <v>55.380541493999999</v>
      </c>
      <c r="S201" s="80">
        <v>60.468246563999998</v>
      </c>
      <c r="T201" s="80">
        <v>67.503042051999998</v>
      </c>
    </row>
    <row r="202" spans="1:20" x14ac:dyDescent="0.2">
      <c r="A202" s="11">
        <v>201</v>
      </c>
      <c r="B202" s="11">
        <v>3</v>
      </c>
      <c r="C202" s="12" t="s">
        <v>385</v>
      </c>
      <c r="D202" s="13" t="s">
        <v>386</v>
      </c>
      <c r="E202" s="80">
        <v>68.928632343999993</v>
      </c>
      <c r="F202" s="80">
        <v>60.514374433999997</v>
      </c>
      <c r="G202" s="80">
        <v>66.130780701999996</v>
      </c>
      <c r="H202" s="80">
        <v>77.342889615999994</v>
      </c>
      <c r="I202" s="80">
        <v>78.006475789999996</v>
      </c>
      <c r="J202" s="80">
        <v>72.624039070999999</v>
      </c>
      <c r="K202" s="80">
        <v>63.123994103999998</v>
      </c>
      <c r="L202" s="80">
        <v>66.761303079000001</v>
      </c>
      <c r="M202" s="80">
        <v>64.987531089000001</v>
      </c>
      <c r="N202" s="80">
        <v>56.449895157999997</v>
      </c>
      <c r="O202" s="80">
        <v>50.094274501000001</v>
      </c>
      <c r="P202" s="80">
        <v>54.001987440000001</v>
      </c>
      <c r="Q202" s="80">
        <v>63.104620492999999</v>
      </c>
      <c r="R202" s="80">
        <v>51.522941768999999</v>
      </c>
      <c r="S202" s="80">
        <v>55.722875870999999</v>
      </c>
      <c r="T202" s="80">
        <v>53.659226209000003</v>
      </c>
    </row>
    <row r="203" spans="1:20" x14ac:dyDescent="0.2">
      <c r="A203" s="11">
        <v>202</v>
      </c>
      <c r="B203" s="11">
        <v>3</v>
      </c>
      <c r="C203" s="12" t="s">
        <v>387</v>
      </c>
      <c r="D203" s="13" t="s">
        <v>388</v>
      </c>
      <c r="E203" s="80">
        <v>67.897266798000004</v>
      </c>
      <c r="F203" s="80">
        <v>61.998062140000002</v>
      </c>
      <c r="G203" s="80">
        <v>66.407225034999996</v>
      </c>
      <c r="H203" s="80">
        <v>77.902943488000005</v>
      </c>
      <c r="I203" s="80">
        <v>75.134012197000004</v>
      </c>
      <c r="J203" s="80">
        <v>71.889868385</v>
      </c>
      <c r="K203" s="80">
        <v>82.745770566999994</v>
      </c>
      <c r="L203" s="80">
        <v>75.602479768999999</v>
      </c>
      <c r="M203" s="80">
        <v>64.204860869000001</v>
      </c>
      <c r="N203" s="80">
        <v>81.584416024999996</v>
      </c>
      <c r="O203" s="80">
        <v>78.874840268</v>
      </c>
      <c r="P203" s="80">
        <v>85.770306461000004</v>
      </c>
      <c r="Q203" s="80">
        <v>74.699310232000002</v>
      </c>
      <c r="R203" s="80">
        <v>90.349191020000006</v>
      </c>
      <c r="S203" s="80">
        <v>88.382808341</v>
      </c>
      <c r="T203" s="80">
        <v>92.361227780999997</v>
      </c>
    </row>
    <row r="204" spans="1:20" x14ac:dyDescent="0.2">
      <c r="A204" s="11">
        <v>203</v>
      </c>
      <c r="B204" s="11">
        <v>3</v>
      </c>
      <c r="C204" s="12" t="s">
        <v>389</v>
      </c>
      <c r="D204" s="13" t="s">
        <v>390</v>
      </c>
      <c r="E204" s="80">
        <v>81.059836609000001</v>
      </c>
      <c r="F204" s="80">
        <v>71.392773977999994</v>
      </c>
      <c r="G204" s="80">
        <v>74.063554643000003</v>
      </c>
      <c r="H204" s="80">
        <v>80.47921135</v>
      </c>
      <c r="I204" s="80">
        <v>70.446791153000007</v>
      </c>
      <c r="J204" s="80">
        <v>70.339693943</v>
      </c>
      <c r="K204" s="80">
        <v>68.481148470999997</v>
      </c>
      <c r="L204" s="80">
        <v>62.660935197999997</v>
      </c>
      <c r="M204" s="80">
        <v>65.844250553999998</v>
      </c>
      <c r="N204" s="80">
        <v>72.894188263999993</v>
      </c>
      <c r="O204" s="80">
        <v>50.767802017999998</v>
      </c>
      <c r="P204" s="80">
        <v>62.147293075</v>
      </c>
      <c r="Q204" s="80">
        <v>52.780472983000003</v>
      </c>
      <c r="R204" s="80">
        <v>59.555946497999997</v>
      </c>
      <c r="S204" s="80">
        <v>59.273372907999999</v>
      </c>
      <c r="T204" s="80">
        <v>53.185047748000002</v>
      </c>
    </row>
    <row r="205" spans="1:20" x14ac:dyDescent="0.2">
      <c r="A205" s="11">
        <v>204</v>
      </c>
      <c r="B205" s="11">
        <v>3</v>
      </c>
      <c r="C205" s="12" t="s">
        <v>391</v>
      </c>
      <c r="D205" s="13" t="s">
        <v>392</v>
      </c>
      <c r="E205" s="80">
        <v>123.75452959</v>
      </c>
      <c r="F205" s="80">
        <v>127.03523315</v>
      </c>
      <c r="G205" s="80">
        <v>129.82882899000001</v>
      </c>
      <c r="H205" s="80">
        <v>138.23567907</v>
      </c>
      <c r="I205" s="80">
        <v>126.52863197000001</v>
      </c>
      <c r="J205" s="80">
        <v>140.48794389</v>
      </c>
      <c r="K205" s="80">
        <v>151.01528607</v>
      </c>
      <c r="L205" s="80">
        <v>143.99130976999999</v>
      </c>
      <c r="M205" s="80">
        <v>146.74591641000001</v>
      </c>
      <c r="N205" s="80">
        <v>151.24752219000001</v>
      </c>
      <c r="O205" s="80">
        <v>150.95112986000001</v>
      </c>
      <c r="P205" s="80">
        <v>152.95314599</v>
      </c>
      <c r="Q205" s="80">
        <v>164.81987751</v>
      </c>
      <c r="R205" s="80">
        <v>168.76430010000001</v>
      </c>
      <c r="S205" s="80">
        <v>163.94961216999999</v>
      </c>
      <c r="T205" s="80">
        <v>121.76051983000001</v>
      </c>
    </row>
    <row r="206" spans="1:20" x14ac:dyDescent="0.2">
      <c r="A206" s="11">
        <v>205</v>
      </c>
      <c r="B206" s="11">
        <v>3</v>
      </c>
      <c r="C206" s="12" t="s">
        <v>393</v>
      </c>
      <c r="D206" s="13" t="s">
        <v>394</v>
      </c>
      <c r="E206" s="80">
        <v>102.34616061</v>
      </c>
      <c r="F206" s="80">
        <v>91.431819423999997</v>
      </c>
      <c r="G206" s="80">
        <v>100.52534708</v>
      </c>
      <c r="H206" s="80">
        <v>96.499027053000006</v>
      </c>
      <c r="I206" s="80">
        <v>77.205339213000002</v>
      </c>
      <c r="J206" s="80">
        <v>81.638759342</v>
      </c>
      <c r="K206" s="80">
        <v>90.897357632999999</v>
      </c>
      <c r="L206" s="80">
        <v>90.250790992000006</v>
      </c>
      <c r="M206" s="80">
        <v>88.867502130000005</v>
      </c>
      <c r="N206" s="80">
        <v>79.344650798000004</v>
      </c>
      <c r="O206" s="80">
        <v>89.616752869999999</v>
      </c>
      <c r="P206" s="80">
        <v>81.549151800999994</v>
      </c>
      <c r="Q206" s="80">
        <v>81.428638703999994</v>
      </c>
      <c r="R206" s="80">
        <v>74.364589680999998</v>
      </c>
      <c r="S206" s="80">
        <v>73.521248408000005</v>
      </c>
      <c r="T206" s="80">
        <v>68.020158570999996</v>
      </c>
    </row>
    <row r="207" spans="1:20" x14ac:dyDescent="0.2">
      <c r="A207" s="11">
        <v>206</v>
      </c>
      <c r="B207" s="11">
        <v>3</v>
      </c>
      <c r="C207" s="12" t="s">
        <v>395</v>
      </c>
      <c r="D207" s="13" t="s">
        <v>396</v>
      </c>
      <c r="E207" s="80">
        <v>157.50461618</v>
      </c>
      <c r="F207" s="80">
        <v>167.83341145</v>
      </c>
      <c r="G207" s="80">
        <v>169.07416380999999</v>
      </c>
      <c r="H207" s="80">
        <v>158.50808635999999</v>
      </c>
      <c r="I207" s="80">
        <v>155.50084140000001</v>
      </c>
      <c r="J207" s="80">
        <v>155.77971789</v>
      </c>
      <c r="K207" s="80">
        <v>147.55638619000001</v>
      </c>
      <c r="L207" s="80">
        <v>160.6963926</v>
      </c>
      <c r="M207" s="80">
        <v>161.67631659</v>
      </c>
      <c r="N207" s="80">
        <v>170.46283532000001</v>
      </c>
      <c r="O207" s="80">
        <v>169.7992836</v>
      </c>
      <c r="P207" s="80">
        <v>178.97378402999999</v>
      </c>
      <c r="Q207" s="80">
        <v>174.01288137</v>
      </c>
      <c r="R207" s="80">
        <v>190.99332618</v>
      </c>
      <c r="S207" s="80">
        <v>202.92400061999999</v>
      </c>
      <c r="T207" s="80">
        <v>184.92876022999999</v>
      </c>
    </row>
    <row r="208" spans="1:20" x14ac:dyDescent="0.2">
      <c r="A208" s="8">
        <v>207</v>
      </c>
      <c r="B208" s="8">
        <v>2</v>
      </c>
      <c r="C208" s="9" t="s">
        <v>397</v>
      </c>
      <c r="D208" s="10" t="s">
        <v>398</v>
      </c>
      <c r="E208" s="79">
        <v>3.7313173120999998</v>
      </c>
      <c r="F208" s="79">
        <v>3.6996149960000002</v>
      </c>
      <c r="G208" s="79">
        <v>7.7486232280999996</v>
      </c>
      <c r="H208" s="79">
        <v>7.7149449294999997</v>
      </c>
      <c r="I208" s="79">
        <v>8.8835091177999992</v>
      </c>
      <c r="J208" s="79">
        <v>11.300628897999999</v>
      </c>
      <c r="K208" s="79">
        <v>14.241540689000001</v>
      </c>
      <c r="L208" s="79">
        <v>19.818354018000001</v>
      </c>
      <c r="M208" s="79">
        <v>19.426967450999999</v>
      </c>
      <c r="N208" s="79">
        <v>12.003475926</v>
      </c>
      <c r="O208" s="79">
        <v>15.170130309999999</v>
      </c>
      <c r="P208" s="79">
        <v>22.023908025000001</v>
      </c>
      <c r="Q208" s="79">
        <v>16.518557261000002</v>
      </c>
      <c r="R208" s="79">
        <v>23.335160177999999</v>
      </c>
      <c r="S208" s="79">
        <v>26.791467024999999</v>
      </c>
      <c r="T208" s="79">
        <v>30.356568403000001</v>
      </c>
    </row>
    <row r="209" spans="1:20" s="16" customFormat="1" x14ac:dyDescent="0.2">
      <c r="A209" s="14">
        <v>208</v>
      </c>
      <c r="B209" s="14">
        <v>3</v>
      </c>
      <c r="C209" s="14" t="s">
        <v>399</v>
      </c>
      <c r="D209" s="15" t="s">
        <v>400</v>
      </c>
      <c r="E209" s="81">
        <v>0.1042608896</v>
      </c>
      <c r="F209" s="81">
        <v>0.1040493301</v>
      </c>
      <c r="G209" s="81">
        <v>0.1000073638</v>
      </c>
      <c r="H209" s="81">
        <v>9.5241197400000005E-2</v>
      </c>
      <c r="I209" s="81">
        <v>0.45164666489999999</v>
      </c>
      <c r="J209" s="81">
        <v>9.3160809499999997E-2</v>
      </c>
      <c r="K209" s="81">
        <v>0.23909829160000001</v>
      </c>
      <c r="L209" s="81">
        <v>9.6648080400000003E-2</v>
      </c>
      <c r="M209" s="81">
        <v>0.39518093739999999</v>
      </c>
      <c r="N209" s="81">
        <v>0.33478155250000002</v>
      </c>
      <c r="O209" s="81">
        <v>6.8991243999999993E-2</v>
      </c>
      <c r="P209" s="81">
        <v>0.51963343870000001</v>
      </c>
      <c r="Q209" s="81">
        <v>0.3357132612</v>
      </c>
      <c r="R209" s="81">
        <v>7.3761542099999994E-2</v>
      </c>
      <c r="S209" s="81">
        <v>8.3977430300000003E-2</v>
      </c>
      <c r="T209" s="81">
        <v>9.8712531899999997E-2</v>
      </c>
    </row>
    <row r="210" spans="1:20" x14ac:dyDescent="0.2">
      <c r="A210" s="11">
        <v>209</v>
      </c>
      <c r="B210" s="11">
        <v>3</v>
      </c>
      <c r="C210" s="12" t="s">
        <v>401</v>
      </c>
      <c r="D210" s="13" t="s">
        <v>402</v>
      </c>
      <c r="E210" s="80">
        <v>3.6755233421</v>
      </c>
      <c r="F210" s="80">
        <v>3.6468268813</v>
      </c>
      <c r="G210" s="80">
        <v>7.4056067965999999</v>
      </c>
      <c r="H210" s="80">
        <v>6.9027248456999999</v>
      </c>
      <c r="I210" s="80">
        <v>8.2963740290000008</v>
      </c>
      <c r="J210" s="80">
        <v>10.91049479</v>
      </c>
      <c r="K210" s="80">
        <v>12.88121392</v>
      </c>
      <c r="L210" s="80">
        <v>18.613102026</v>
      </c>
      <c r="M210" s="80">
        <v>18.4739696</v>
      </c>
      <c r="N210" s="80">
        <v>11.626382779</v>
      </c>
      <c r="O210" s="80">
        <v>14.978500513</v>
      </c>
      <c r="P210" s="80">
        <v>20.713711359000001</v>
      </c>
      <c r="Q210" s="80">
        <v>15.650631626999999</v>
      </c>
      <c r="R210" s="80">
        <v>19.699928744000001</v>
      </c>
      <c r="S210" s="80">
        <v>25.55953585</v>
      </c>
      <c r="T210" s="80">
        <v>28.406909412000001</v>
      </c>
    </row>
    <row r="211" spans="1:20" x14ac:dyDescent="0.2">
      <c r="A211" s="11">
        <v>210</v>
      </c>
      <c r="B211" s="11">
        <v>3</v>
      </c>
      <c r="C211" s="12" t="s">
        <v>403</v>
      </c>
      <c r="D211" s="13" t="s">
        <v>404</v>
      </c>
      <c r="E211" s="80">
        <v>0.1146780102</v>
      </c>
      <c r="F211" s="80">
        <v>0.1131220943</v>
      </c>
      <c r="G211" s="80">
        <v>0.26350050739999997</v>
      </c>
      <c r="H211" s="80">
        <v>0.74667238290000004</v>
      </c>
      <c r="I211" s="80">
        <v>0.1015710708</v>
      </c>
      <c r="J211" s="80">
        <v>0.2703720691</v>
      </c>
      <c r="K211" s="80">
        <v>0.92791904469999997</v>
      </c>
      <c r="L211" s="80">
        <v>1.0335702790000001</v>
      </c>
      <c r="M211" s="80">
        <v>0.45013142480000001</v>
      </c>
      <c r="N211" s="80">
        <v>7.8973184799999999E-2</v>
      </c>
      <c r="O211" s="80">
        <v>0.20047448379999999</v>
      </c>
      <c r="P211" s="80">
        <v>0.45952905179999998</v>
      </c>
      <c r="Q211" s="80">
        <v>0.33323335799999998</v>
      </c>
      <c r="R211" s="80">
        <v>2.6183242822000001</v>
      </c>
      <c r="S211" s="80">
        <v>0.98264480499999995</v>
      </c>
      <c r="T211" s="80">
        <v>1.4191671787</v>
      </c>
    </row>
    <row r="212" spans="1:20" x14ac:dyDescent="0.2">
      <c r="A212" s="8">
        <v>211</v>
      </c>
      <c r="B212" s="8">
        <v>2</v>
      </c>
      <c r="C212" s="9" t="s">
        <v>405</v>
      </c>
      <c r="D212" s="10" t="s">
        <v>406</v>
      </c>
      <c r="E212" s="79">
        <v>38.529173255000003</v>
      </c>
      <c r="F212" s="79">
        <v>36.674564701000001</v>
      </c>
      <c r="G212" s="79">
        <v>33.263937663</v>
      </c>
      <c r="H212" s="79">
        <v>38.284008833000001</v>
      </c>
      <c r="I212" s="79">
        <v>36.302696652000002</v>
      </c>
      <c r="J212" s="79">
        <v>32.895079504999998</v>
      </c>
      <c r="K212" s="79">
        <v>29.627606984</v>
      </c>
      <c r="L212" s="79">
        <v>37.146838840000001</v>
      </c>
      <c r="M212" s="79">
        <v>74.731515498999997</v>
      </c>
      <c r="N212" s="79">
        <v>52.682390994000002</v>
      </c>
      <c r="O212" s="79">
        <v>67.262288354999995</v>
      </c>
      <c r="P212" s="79">
        <v>46.174022370000003</v>
      </c>
      <c r="Q212" s="79">
        <v>51.423384919999997</v>
      </c>
      <c r="R212" s="79">
        <v>5.6110730240000004</v>
      </c>
      <c r="S212" s="79">
        <v>1.2475651233</v>
      </c>
      <c r="T212" s="79">
        <v>1.0647629196999999</v>
      </c>
    </row>
    <row r="213" spans="1:20" x14ac:dyDescent="0.2">
      <c r="A213" s="11">
        <v>212</v>
      </c>
      <c r="B213" s="11">
        <v>3</v>
      </c>
      <c r="C213" s="12" t="s">
        <v>407</v>
      </c>
      <c r="D213" s="13" t="s">
        <v>406</v>
      </c>
      <c r="E213" s="80">
        <v>38.529173255000003</v>
      </c>
      <c r="F213" s="80">
        <v>36.674564701000001</v>
      </c>
      <c r="G213" s="80">
        <v>33.263937663</v>
      </c>
      <c r="H213" s="80">
        <v>38.284008833000001</v>
      </c>
      <c r="I213" s="80">
        <v>36.302696652000002</v>
      </c>
      <c r="J213" s="80">
        <v>32.895079504999998</v>
      </c>
      <c r="K213" s="80">
        <v>29.627606984</v>
      </c>
      <c r="L213" s="80">
        <v>37.146838840000001</v>
      </c>
      <c r="M213" s="80">
        <v>74.731515498999997</v>
      </c>
      <c r="N213" s="80">
        <v>52.682390994000002</v>
      </c>
      <c r="O213" s="80">
        <v>67.262288354999995</v>
      </c>
      <c r="P213" s="80">
        <v>46.174022370000003</v>
      </c>
      <c r="Q213" s="80">
        <v>51.423384919999997</v>
      </c>
      <c r="R213" s="80">
        <v>5.6110730240000004</v>
      </c>
      <c r="S213" s="80">
        <v>1.2475651233</v>
      </c>
      <c r="T213" s="80">
        <v>1.0647629196999999</v>
      </c>
    </row>
    <row r="214" spans="1:20" ht="15" x14ac:dyDescent="0.25">
      <c r="A214" s="4">
        <v>213</v>
      </c>
      <c r="B214" s="4">
        <v>1</v>
      </c>
      <c r="C214" s="5" t="s">
        <v>408</v>
      </c>
      <c r="D214" s="6" t="s">
        <v>409</v>
      </c>
      <c r="E214" s="78">
        <v>696.29198310000004</v>
      </c>
      <c r="F214" s="78">
        <v>653.60789139999997</v>
      </c>
      <c r="G214" s="78">
        <v>701.58825460000003</v>
      </c>
      <c r="H214" s="78">
        <v>710.49573929999997</v>
      </c>
      <c r="I214" s="78">
        <v>722.4562201</v>
      </c>
      <c r="J214" s="78">
        <v>753.01727289999997</v>
      </c>
      <c r="K214" s="78">
        <v>774.30796280000004</v>
      </c>
      <c r="L214" s="78">
        <v>762.95419370000002</v>
      </c>
      <c r="M214" s="78">
        <v>797.31746039999996</v>
      </c>
      <c r="N214" s="78">
        <v>773.94711710000001</v>
      </c>
      <c r="O214" s="78">
        <v>827.98975419999999</v>
      </c>
      <c r="P214" s="78">
        <v>843.47962410000002</v>
      </c>
      <c r="Q214" s="78">
        <v>885.6670259</v>
      </c>
      <c r="R214" s="78">
        <v>902.44841570000006</v>
      </c>
      <c r="S214" s="78">
        <v>913.68668170000001</v>
      </c>
      <c r="T214" s="78">
        <v>645.85916780000002</v>
      </c>
    </row>
    <row r="215" spans="1:20" x14ac:dyDescent="0.2">
      <c r="A215" s="8">
        <v>214</v>
      </c>
      <c r="B215" s="8">
        <v>2</v>
      </c>
      <c r="C215" s="9" t="s">
        <v>410</v>
      </c>
      <c r="D215" s="10" t="s">
        <v>411</v>
      </c>
      <c r="E215" s="79">
        <v>114.23958248</v>
      </c>
      <c r="F215" s="79">
        <v>105.48850249</v>
      </c>
      <c r="G215" s="79">
        <v>114.08691365999999</v>
      </c>
      <c r="H215" s="79">
        <v>107.55427619</v>
      </c>
      <c r="I215" s="79">
        <v>106.5037351</v>
      </c>
      <c r="J215" s="79">
        <v>114.28714148</v>
      </c>
      <c r="K215" s="79">
        <v>109.42895858999999</v>
      </c>
      <c r="L215" s="79">
        <v>107.87791672</v>
      </c>
      <c r="M215" s="79">
        <v>108.68437492</v>
      </c>
      <c r="N215" s="79">
        <v>106.66250126</v>
      </c>
      <c r="O215" s="79">
        <v>117.0646076</v>
      </c>
      <c r="P215" s="79">
        <v>105.34651791</v>
      </c>
      <c r="Q215" s="79">
        <v>110.03667738999999</v>
      </c>
      <c r="R215" s="79">
        <v>111.99707909999999</v>
      </c>
      <c r="S215" s="79">
        <v>106.90253586999999</v>
      </c>
      <c r="T215" s="79">
        <v>76.536988926000006</v>
      </c>
    </row>
    <row r="216" spans="1:20" x14ac:dyDescent="0.2">
      <c r="A216" s="11">
        <v>215</v>
      </c>
      <c r="B216" s="11">
        <v>3</v>
      </c>
      <c r="C216" s="12" t="s">
        <v>412</v>
      </c>
      <c r="D216" s="13" t="s">
        <v>411</v>
      </c>
      <c r="E216" s="80">
        <v>114.23958248</v>
      </c>
      <c r="F216" s="80">
        <v>105.48850249</v>
      </c>
      <c r="G216" s="80">
        <v>114.08691365999999</v>
      </c>
      <c r="H216" s="80">
        <v>107.55427619</v>
      </c>
      <c r="I216" s="80">
        <v>106.5037351</v>
      </c>
      <c r="J216" s="80">
        <v>114.28714148</v>
      </c>
      <c r="K216" s="80">
        <v>109.42895858999999</v>
      </c>
      <c r="L216" s="80">
        <v>107.87791672</v>
      </c>
      <c r="M216" s="80">
        <v>108.68437492</v>
      </c>
      <c r="N216" s="80">
        <v>106.66250126</v>
      </c>
      <c r="O216" s="80">
        <v>117.0646076</v>
      </c>
      <c r="P216" s="80">
        <v>105.34651791</v>
      </c>
      <c r="Q216" s="80">
        <v>110.03667738999999</v>
      </c>
      <c r="R216" s="80">
        <v>111.99707909999999</v>
      </c>
      <c r="S216" s="80">
        <v>106.90253586999999</v>
      </c>
      <c r="T216" s="80">
        <v>76.536988926000006</v>
      </c>
    </row>
    <row r="217" spans="1:20" x14ac:dyDescent="0.2">
      <c r="A217" s="8">
        <v>216</v>
      </c>
      <c r="B217" s="8">
        <v>2</v>
      </c>
      <c r="C217" s="9" t="s">
        <v>413</v>
      </c>
      <c r="D217" s="10" t="s">
        <v>414</v>
      </c>
      <c r="E217" s="79">
        <v>582.02447508</v>
      </c>
      <c r="F217" s="79">
        <v>548.24724520999996</v>
      </c>
      <c r="G217" s="79">
        <v>587.86511623000001</v>
      </c>
      <c r="H217" s="79">
        <v>602.91205525999999</v>
      </c>
      <c r="I217" s="79">
        <v>615.64395314000001</v>
      </c>
      <c r="J217" s="79">
        <v>638.57840263000003</v>
      </c>
      <c r="K217" s="79">
        <v>664.88483832999998</v>
      </c>
      <c r="L217" s="79">
        <v>654.93029261000004</v>
      </c>
      <c r="M217" s="79">
        <v>687.27770221000003</v>
      </c>
      <c r="N217" s="79">
        <v>664.14764145000004</v>
      </c>
      <c r="O217" s="79">
        <v>705.57895269999995</v>
      </c>
      <c r="P217" s="79">
        <v>731.01885489999995</v>
      </c>
      <c r="Q217" s="79">
        <v>769.18353908999995</v>
      </c>
      <c r="R217" s="79">
        <v>786.33133966000003</v>
      </c>
      <c r="S217" s="79">
        <v>805.79297025999995</v>
      </c>
      <c r="T217" s="79">
        <v>569.86642991999997</v>
      </c>
    </row>
    <row r="218" spans="1:20" x14ac:dyDescent="0.2">
      <c r="A218" s="11">
        <v>217</v>
      </c>
      <c r="B218" s="11">
        <v>3</v>
      </c>
      <c r="C218" s="12" t="s">
        <v>415</v>
      </c>
      <c r="D218" s="13" t="s">
        <v>416</v>
      </c>
      <c r="E218" s="80">
        <v>9.3190892799999994E-2</v>
      </c>
      <c r="F218" s="80">
        <v>8.7689112900000005E-2</v>
      </c>
      <c r="G218" s="80">
        <v>8.3167231999999994E-2</v>
      </c>
      <c r="H218" s="80">
        <v>0.57072711239999996</v>
      </c>
      <c r="I218" s="80">
        <v>7.3065269000000002E-2</v>
      </c>
      <c r="J218" s="80">
        <v>6.9129484899999996E-2</v>
      </c>
      <c r="K218" s="80">
        <v>0.38494437549999999</v>
      </c>
      <c r="L218" s="80">
        <v>0.40662404769999999</v>
      </c>
      <c r="M218" s="80">
        <v>0.70785818609999995</v>
      </c>
      <c r="N218" s="80">
        <v>9.1858949600000003E-2</v>
      </c>
      <c r="O218" s="80">
        <v>9.7862344500000004E-2</v>
      </c>
      <c r="P218" s="80">
        <v>0.1038177684</v>
      </c>
      <c r="Q218" s="80">
        <v>3.7330700431000001</v>
      </c>
      <c r="R218" s="80">
        <v>2.2458142838000001</v>
      </c>
      <c r="S218" s="80">
        <v>2.5559623107</v>
      </c>
      <c r="T218" s="80">
        <v>8.3974877700000006E-2</v>
      </c>
    </row>
    <row r="219" spans="1:20" x14ac:dyDescent="0.2">
      <c r="A219" s="11">
        <v>218</v>
      </c>
      <c r="B219" s="11">
        <v>3</v>
      </c>
      <c r="C219" s="12" t="s">
        <v>417</v>
      </c>
      <c r="D219" s="13" t="s">
        <v>418</v>
      </c>
      <c r="E219" s="80">
        <v>430.74825511</v>
      </c>
      <c r="F219" s="80">
        <v>406.73787737999999</v>
      </c>
      <c r="G219" s="80">
        <v>433.56804790000001</v>
      </c>
      <c r="H219" s="80">
        <v>458.47607993000003</v>
      </c>
      <c r="I219" s="80">
        <v>466.49142606999999</v>
      </c>
      <c r="J219" s="80">
        <v>487.03619284000001</v>
      </c>
      <c r="K219" s="80">
        <v>507.06257513000003</v>
      </c>
      <c r="L219" s="80">
        <v>507.03564166000001</v>
      </c>
      <c r="M219" s="80">
        <v>531.61530631999995</v>
      </c>
      <c r="N219" s="80">
        <v>523.69071671999995</v>
      </c>
      <c r="O219" s="80">
        <v>555.11325993000003</v>
      </c>
      <c r="P219" s="80">
        <v>590.18877445999999</v>
      </c>
      <c r="Q219" s="80">
        <v>612.92912492999994</v>
      </c>
      <c r="R219" s="80">
        <v>636.93472597000004</v>
      </c>
      <c r="S219" s="80">
        <v>624.55155311999999</v>
      </c>
      <c r="T219" s="80">
        <v>490.49301402999998</v>
      </c>
    </row>
    <row r="220" spans="1:20" x14ac:dyDescent="0.2">
      <c r="A220" s="11">
        <v>219</v>
      </c>
      <c r="B220" s="11">
        <v>3</v>
      </c>
      <c r="C220" s="12" t="s">
        <v>419</v>
      </c>
      <c r="D220" s="13" t="s">
        <v>420</v>
      </c>
      <c r="E220" s="80">
        <v>93.28654263</v>
      </c>
      <c r="F220" s="80">
        <v>90.223238210000005</v>
      </c>
      <c r="G220" s="80">
        <v>98.684832196000002</v>
      </c>
      <c r="H220" s="80">
        <v>89.100881779999995</v>
      </c>
      <c r="I220" s="80">
        <v>103.29302418</v>
      </c>
      <c r="J220" s="80">
        <v>101.72339202000001</v>
      </c>
      <c r="K220" s="80">
        <v>99.174736787000001</v>
      </c>
      <c r="L220" s="80">
        <v>92.125756089999996</v>
      </c>
      <c r="M220" s="80">
        <v>100.4899241</v>
      </c>
      <c r="N220" s="80">
        <v>83.851989024999995</v>
      </c>
      <c r="O220" s="80">
        <v>103.55272137999999</v>
      </c>
      <c r="P220" s="80">
        <v>90.784727313000005</v>
      </c>
      <c r="Q220" s="80">
        <v>99.995542627000006</v>
      </c>
      <c r="R220" s="80">
        <v>97.975341436999997</v>
      </c>
      <c r="S220" s="80">
        <v>111.74629879</v>
      </c>
      <c r="T220" s="80">
        <v>45.772999652000003</v>
      </c>
    </row>
    <row r="221" spans="1:20" x14ac:dyDescent="0.2">
      <c r="A221" s="11">
        <v>220</v>
      </c>
      <c r="B221" s="11">
        <v>3</v>
      </c>
      <c r="C221" s="12" t="s">
        <v>421</v>
      </c>
      <c r="D221" s="13" t="s">
        <v>422</v>
      </c>
      <c r="E221" s="80">
        <v>59.265062466000003</v>
      </c>
      <c r="F221" s="80">
        <v>52.126070521999999</v>
      </c>
      <c r="G221" s="80">
        <v>56.257959069999998</v>
      </c>
      <c r="H221" s="80">
        <v>55.335449269999998</v>
      </c>
      <c r="I221" s="80">
        <v>45.823183780999997</v>
      </c>
      <c r="J221" s="80">
        <v>50.017529756999998</v>
      </c>
      <c r="K221" s="80">
        <v>58.336480563999999</v>
      </c>
      <c r="L221" s="80">
        <v>55.693394777999998</v>
      </c>
      <c r="M221" s="80">
        <v>54.501494287</v>
      </c>
      <c r="N221" s="80">
        <v>57.404959069</v>
      </c>
      <c r="O221" s="80">
        <v>46.712583189</v>
      </c>
      <c r="P221" s="80">
        <v>49.788527545999997</v>
      </c>
      <c r="Q221" s="80">
        <v>51.094901714000002</v>
      </c>
      <c r="R221" s="80">
        <v>47.235830733</v>
      </c>
      <c r="S221" s="80">
        <v>64.281716957</v>
      </c>
      <c r="T221" s="80">
        <v>32.656440801000002</v>
      </c>
    </row>
    <row r="222" spans="1:20" x14ac:dyDescent="0.2">
      <c r="A222" s="8">
        <v>221</v>
      </c>
      <c r="B222" s="8">
        <v>2</v>
      </c>
      <c r="C222" s="9" t="s">
        <v>423</v>
      </c>
      <c r="D222" s="10" t="s">
        <v>424</v>
      </c>
      <c r="E222" s="79">
        <v>0.1000472025</v>
      </c>
      <c r="F222" s="79">
        <v>0.1000533277</v>
      </c>
      <c r="G222" s="79">
        <v>0.1000580209</v>
      </c>
      <c r="H222" s="79">
        <v>0.10006077219999999</v>
      </c>
      <c r="I222" s="79">
        <v>0.1000615419</v>
      </c>
      <c r="J222" s="79">
        <v>0.10005363019999999</v>
      </c>
      <c r="K222" s="79">
        <v>0.1000238475</v>
      </c>
      <c r="L222" s="79">
        <v>0.1001703436</v>
      </c>
      <c r="M222" s="79">
        <v>0.10091968799999999</v>
      </c>
      <c r="N222" s="79">
        <v>0.1023416721</v>
      </c>
      <c r="O222" s="79">
        <v>0.1045499351</v>
      </c>
      <c r="P222" s="79">
        <v>0.1108350077</v>
      </c>
      <c r="Q222" s="79">
        <v>0.1212399472</v>
      </c>
      <c r="R222" s="79">
        <v>0.1361425718</v>
      </c>
      <c r="S222" s="79">
        <v>0.14486901599999999</v>
      </c>
      <c r="T222" s="79">
        <v>0.14827125660000001</v>
      </c>
    </row>
    <row r="223" spans="1:20" x14ac:dyDescent="0.2">
      <c r="A223" s="11">
        <v>222</v>
      </c>
      <c r="B223" s="11">
        <v>3</v>
      </c>
      <c r="C223" s="12" t="s">
        <v>425</v>
      </c>
      <c r="D223" s="13" t="s">
        <v>424</v>
      </c>
      <c r="E223" s="80">
        <v>0.1000472025</v>
      </c>
      <c r="F223" s="80">
        <v>0.1000533277</v>
      </c>
      <c r="G223" s="80">
        <v>0.1000580209</v>
      </c>
      <c r="H223" s="80">
        <v>0.10006077219999999</v>
      </c>
      <c r="I223" s="80">
        <v>0.1000615419</v>
      </c>
      <c r="J223" s="80">
        <v>0.10005363019999999</v>
      </c>
      <c r="K223" s="80">
        <v>0.1000238475</v>
      </c>
      <c r="L223" s="80">
        <v>0.1001703436</v>
      </c>
      <c r="M223" s="80">
        <v>0.10091968799999999</v>
      </c>
      <c r="N223" s="80">
        <v>0.1023416721</v>
      </c>
      <c r="O223" s="80">
        <v>0.1045499351</v>
      </c>
      <c r="P223" s="80">
        <v>0.1108350077</v>
      </c>
      <c r="Q223" s="80">
        <v>0.1212399472</v>
      </c>
      <c r="R223" s="80">
        <v>0.1361425718</v>
      </c>
      <c r="S223" s="80">
        <v>0.14486901599999999</v>
      </c>
      <c r="T223" s="80">
        <v>0.14827125660000001</v>
      </c>
    </row>
    <row r="224" spans="1:20" ht="15" x14ac:dyDescent="0.25">
      <c r="A224" s="4">
        <v>223</v>
      </c>
      <c r="B224" s="4">
        <v>1</v>
      </c>
      <c r="C224" s="5" t="s">
        <v>426</v>
      </c>
      <c r="D224" s="6" t="s">
        <v>427</v>
      </c>
      <c r="E224" s="78">
        <v>494.56327040000002</v>
      </c>
      <c r="F224" s="78">
        <v>502.48900939999999</v>
      </c>
      <c r="G224" s="78">
        <v>531.34797890000004</v>
      </c>
      <c r="H224" s="78">
        <v>559.01057290000006</v>
      </c>
      <c r="I224" s="78">
        <v>591.78807989999996</v>
      </c>
      <c r="J224" s="78">
        <v>587.80853149999996</v>
      </c>
      <c r="K224" s="78">
        <v>574.56335000000001</v>
      </c>
      <c r="L224" s="78">
        <v>547.8960495</v>
      </c>
      <c r="M224" s="78">
        <v>586.93403269999999</v>
      </c>
      <c r="N224" s="78">
        <v>586.78277730000002</v>
      </c>
      <c r="O224" s="78">
        <v>614.15473799999995</v>
      </c>
      <c r="P224" s="78">
        <v>624.51671369999997</v>
      </c>
      <c r="Q224" s="78">
        <v>651.71438339999997</v>
      </c>
      <c r="R224" s="78">
        <v>623.58129310000004</v>
      </c>
      <c r="S224" s="78">
        <v>663.16992219999997</v>
      </c>
      <c r="T224" s="78">
        <v>583.20263929999999</v>
      </c>
    </row>
    <row r="225" spans="1:20" x14ac:dyDescent="0.2">
      <c r="A225" s="8">
        <v>224</v>
      </c>
      <c r="B225" s="8">
        <v>2</v>
      </c>
      <c r="C225" s="9" t="s">
        <v>428</v>
      </c>
      <c r="D225" s="10" t="s">
        <v>429</v>
      </c>
      <c r="E225" s="79">
        <v>206.31417525000001</v>
      </c>
      <c r="F225" s="79">
        <v>227.21250760999999</v>
      </c>
      <c r="G225" s="79">
        <v>229.73154939</v>
      </c>
      <c r="H225" s="79">
        <v>228.01483666999999</v>
      </c>
      <c r="I225" s="79">
        <v>248.61062396</v>
      </c>
      <c r="J225" s="79">
        <v>227.89195121</v>
      </c>
      <c r="K225" s="79">
        <v>235.14806793</v>
      </c>
      <c r="L225" s="79">
        <v>214.26452319000001</v>
      </c>
      <c r="M225" s="79">
        <v>231.83360492</v>
      </c>
      <c r="N225" s="79">
        <v>240.73458188999999</v>
      </c>
      <c r="O225" s="79">
        <v>250.67272563</v>
      </c>
      <c r="P225" s="79">
        <v>276.25175234</v>
      </c>
      <c r="Q225" s="79">
        <v>276.32642741000001</v>
      </c>
      <c r="R225" s="79">
        <v>292.09236636999998</v>
      </c>
      <c r="S225" s="79">
        <v>282.46796454999998</v>
      </c>
      <c r="T225" s="79">
        <v>235.68297564</v>
      </c>
    </row>
    <row r="226" spans="1:20" x14ac:dyDescent="0.2">
      <c r="A226" s="11">
        <v>225</v>
      </c>
      <c r="B226" s="11">
        <v>3</v>
      </c>
      <c r="C226" s="12" t="s">
        <v>430</v>
      </c>
      <c r="D226" s="13" t="s">
        <v>431</v>
      </c>
      <c r="E226" s="80">
        <v>9.96036847E-2</v>
      </c>
      <c r="F226" s="80">
        <v>9.9117814700000001E-2</v>
      </c>
      <c r="G226" s="80">
        <v>9.8833193400000005E-2</v>
      </c>
      <c r="H226" s="80">
        <v>0.3797121162</v>
      </c>
      <c r="I226" s="80">
        <v>9.8551505499999997E-2</v>
      </c>
      <c r="J226" s="80">
        <v>9.5415147800000003E-2</v>
      </c>
      <c r="K226" s="80">
        <v>0.1729120583</v>
      </c>
      <c r="L226" s="80">
        <v>8.7031390200000003E-2</v>
      </c>
      <c r="M226" s="80">
        <v>8.4798959399999999E-2</v>
      </c>
      <c r="N226" s="80">
        <v>8.4333659899999996E-2</v>
      </c>
      <c r="O226" s="80">
        <v>0.59309596679999999</v>
      </c>
      <c r="P226" s="80">
        <v>8.7537457799999996E-2</v>
      </c>
      <c r="Q226" s="80">
        <v>1.4474840945</v>
      </c>
      <c r="R226" s="80">
        <v>1.4277995626</v>
      </c>
      <c r="S226" s="80">
        <v>0.86942344459999998</v>
      </c>
      <c r="T226" s="80">
        <v>1.447701428</v>
      </c>
    </row>
    <row r="227" spans="1:20" x14ac:dyDescent="0.2">
      <c r="A227" s="11">
        <v>226</v>
      </c>
      <c r="B227" s="11">
        <v>3</v>
      </c>
      <c r="C227" s="12" t="s">
        <v>432</v>
      </c>
      <c r="D227" s="13" t="s">
        <v>433</v>
      </c>
      <c r="E227" s="80">
        <v>130.43303424000001</v>
      </c>
      <c r="F227" s="80">
        <v>148.26629055000001</v>
      </c>
      <c r="G227" s="80">
        <v>147.95940537000001</v>
      </c>
      <c r="H227" s="80">
        <v>169.35759770000001</v>
      </c>
      <c r="I227" s="80">
        <v>173.83961337</v>
      </c>
      <c r="J227" s="80">
        <v>165.07669863000001</v>
      </c>
      <c r="K227" s="80">
        <v>163.48168835000001</v>
      </c>
      <c r="L227" s="80">
        <v>144.59185751000001</v>
      </c>
      <c r="M227" s="80">
        <v>163.85012775999999</v>
      </c>
      <c r="N227" s="80">
        <v>162.60813487999999</v>
      </c>
      <c r="O227" s="80">
        <v>183.27731420000001</v>
      </c>
      <c r="P227" s="80">
        <v>194.67364774999999</v>
      </c>
      <c r="Q227" s="80">
        <v>178.44576036999999</v>
      </c>
      <c r="R227" s="80">
        <v>202.42374774000001</v>
      </c>
      <c r="S227" s="80">
        <v>199.13273939000001</v>
      </c>
      <c r="T227" s="80">
        <v>178.50555789000001</v>
      </c>
    </row>
    <row r="228" spans="1:20" x14ac:dyDescent="0.2">
      <c r="A228" s="11">
        <v>227</v>
      </c>
      <c r="B228" s="11">
        <v>3</v>
      </c>
      <c r="C228" s="12" t="s">
        <v>434</v>
      </c>
      <c r="D228" s="13" t="s">
        <v>435</v>
      </c>
      <c r="E228" s="80">
        <v>74.077757020999996</v>
      </c>
      <c r="F228" s="80">
        <v>77.077910398</v>
      </c>
      <c r="G228" s="80">
        <v>79.793079934000005</v>
      </c>
      <c r="H228" s="80">
        <v>56.555579821000002</v>
      </c>
      <c r="I228" s="80">
        <v>72.810415202000001</v>
      </c>
      <c r="J228" s="80">
        <v>61.582169307999997</v>
      </c>
      <c r="K228" s="80">
        <v>70.495579176000007</v>
      </c>
      <c r="L228" s="80">
        <v>69.303795155000003</v>
      </c>
      <c r="M228" s="80">
        <v>67.916204789999995</v>
      </c>
      <c r="N228" s="80">
        <v>78.334270829000005</v>
      </c>
      <c r="O228" s="80">
        <v>67.376188092999996</v>
      </c>
      <c r="P228" s="80">
        <v>82.052169319000001</v>
      </c>
      <c r="Q228" s="80">
        <v>95.711986512999999</v>
      </c>
      <c r="R228" s="80">
        <v>87.470583959999999</v>
      </c>
      <c r="S228" s="80">
        <v>81.567858461</v>
      </c>
      <c r="T228" s="80">
        <v>55.280012628999998</v>
      </c>
    </row>
    <row r="229" spans="1:20" x14ac:dyDescent="0.2">
      <c r="A229" s="8">
        <v>228</v>
      </c>
      <c r="B229" s="8">
        <v>2</v>
      </c>
      <c r="C229" s="9" t="s">
        <v>436</v>
      </c>
      <c r="D229" s="10" t="s">
        <v>437</v>
      </c>
      <c r="E229" s="79">
        <v>30.910912313000001</v>
      </c>
      <c r="F229" s="79">
        <v>30.960882194</v>
      </c>
      <c r="G229" s="79">
        <v>30.299052739</v>
      </c>
      <c r="H229" s="79">
        <v>40.249427363000002</v>
      </c>
      <c r="I229" s="79">
        <v>43.573642974999999</v>
      </c>
      <c r="J229" s="79">
        <v>49.681832833000001</v>
      </c>
      <c r="K229" s="79">
        <v>47.963651777000003</v>
      </c>
      <c r="L229" s="79">
        <v>43.992895056999998</v>
      </c>
      <c r="M229" s="79">
        <v>44.128529053000001</v>
      </c>
      <c r="N229" s="79">
        <v>39.111166162000004</v>
      </c>
      <c r="O229" s="79">
        <v>38.178475800999998</v>
      </c>
      <c r="P229" s="79">
        <v>41.428845817999999</v>
      </c>
      <c r="Q229" s="79">
        <v>51.242231914000001</v>
      </c>
      <c r="R229" s="79">
        <v>44.041048852999999</v>
      </c>
      <c r="S229" s="79">
        <v>48.366471570999998</v>
      </c>
      <c r="T229" s="79">
        <v>49.410098519000002</v>
      </c>
    </row>
    <row r="230" spans="1:20" x14ac:dyDescent="0.2">
      <c r="A230" s="11">
        <v>229</v>
      </c>
      <c r="B230" s="11">
        <v>3</v>
      </c>
      <c r="C230" s="12" t="s">
        <v>438</v>
      </c>
      <c r="D230" s="13" t="s">
        <v>439</v>
      </c>
      <c r="E230" s="80">
        <v>4.7434110000000002E-2</v>
      </c>
      <c r="F230" s="80">
        <v>4.7302889000000001E-2</v>
      </c>
      <c r="G230" s="80">
        <v>8.2301365599999995E-2</v>
      </c>
      <c r="H230" s="80">
        <v>11.953822561000001</v>
      </c>
      <c r="I230" s="80">
        <v>14.034918846</v>
      </c>
      <c r="J230" s="80">
        <v>16.726945011000002</v>
      </c>
      <c r="K230" s="80">
        <v>19.519157460999999</v>
      </c>
      <c r="L230" s="80">
        <v>21.097456497</v>
      </c>
      <c r="M230" s="80">
        <v>25.808353126</v>
      </c>
      <c r="N230" s="80">
        <v>24.340526184000002</v>
      </c>
      <c r="O230" s="80">
        <v>26.697230136000002</v>
      </c>
      <c r="P230" s="80">
        <v>25.963612807000001</v>
      </c>
      <c r="Q230" s="80">
        <v>28.996561147000001</v>
      </c>
      <c r="R230" s="80">
        <v>22.600750574999999</v>
      </c>
      <c r="S230" s="80">
        <v>23.777142008999999</v>
      </c>
      <c r="T230" s="80">
        <v>26.133833970000001</v>
      </c>
    </row>
    <row r="231" spans="1:20" x14ac:dyDescent="0.2">
      <c r="A231" s="11">
        <v>230</v>
      </c>
      <c r="B231" s="11">
        <v>3</v>
      </c>
      <c r="C231" s="12" t="s">
        <v>440</v>
      </c>
      <c r="D231" s="13" t="s">
        <v>441</v>
      </c>
      <c r="E231" s="80">
        <v>7.8219965387999997</v>
      </c>
      <c r="F231" s="80">
        <v>8.0046095877999992</v>
      </c>
      <c r="G231" s="80">
        <v>6.5113383582999997</v>
      </c>
      <c r="H231" s="80">
        <v>5.1461070326999998</v>
      </c>
      <c r="I231" s="80">
        <v>4.1303159785999997</v>
      </c>
      <c r="J231" s="80">
        <v>6.1610145384999999</v>
      </c>
      <c r="K231" s="80">
        <v>3.6546650748</v>
      </c>
      <c r="L231" s="80">
        <v>4.9972922555999997</v>
      </c>
      <c r="M231" s="80">
        <v>5.3584254679000001</v>
      </c>
      <c r="N231" s="80">
        <v>5.7173348389000003</v>
      </c>
      <c r="O231" s="80">
        <v>5.3878866044000002</v>
      </c>
      <c r="P231" s="80">
        <v>7.6618327074000003</v>
      </c>
      <c r="Q231" s="80">
        <v>7.2543559780000004</v>
      </c>
      <c r="R231" s="80">
        <v>6.3060414309999997</v>
      </c>
      <c r="S231" s="80">
        <v>7.4446915151999997</v>
      </c>
      <c r="T231" s="80">
        <v>8.6326047289000005</v>
      </c>
    </row>
    <row r="232" spans="1:20" x14ac:dyDescent="0.2">
      <c r="A232" s="11">
        <v>231</v>
      </c>
      <c r="B232" s="11">
        <v>3</v>
      </c>
      <c r="C232" s="12" t="s">
        <v>442</v>
      </c>
      <c r="D232" s="13" t="s">
        <v>443</v>
      </c>
      <c r="E232" s="80">
        <v>24.336743392999999</v>
      </c>
      <c r="F232" s="80">
        <v>24.772726111000001</v>
      </c>
      <c r="G232" s="80">
        <v>25.566727808</v>
      </c>
      <c r="H232" s="80">
        <v>11.786188235999999</v>
      </c>
      <c r="I232" s="80">
        <v>11.002878722</v>
      </c>
      <c r="J232" s="80">
        <v>8.5291128560999994</v>
      </c>
      <c r="K232" s="80">
        <v>7.3401459065000001</v>
      </c>
      <c r="L232" s="80">
        <v>5.9929854050999998</v>
      </c>
      <c r="M232" s="80">
        <v>10.731263038</v>
      </c>
      <c r="N232" s="80">
        <v>7.5388140494</v>
      </c>
      <c r="O232" s="80">
        <v>4.6541353158999996</v>
      </c>
      <c r="P232" s="80">
        <v>6.445144193</v>
      </c>
      <c r="Q232" s="80">
        <v>13.071476167</v>
      </c>
      <c r="R232" s="80">
        <v>13.234298719</v>
      </c>
      <c r="S232" s="80">
        <v>14.747385921999999</v>
      </c>
      <c r="T232" s="80">
        <v>11.873765429000001</v>
      </c>
    </row>
    <row r="233" spans="1:20" x14ac:dyDescent="0.2">
      <c r="A233" s="8">
        <v>232</v>
      </c>
      <c r="B233" s="8">
        <v>2</v>
      </c>
      <c r="C233" s="9" t="s">
        <v>444</v>
      </c>
      <c r="D233" s="10" t="s">
        <v>445</v>
      </c>
      <c r="E233" s="79">
        <v>11.640315282</v>
      </c>
      <c r="F233" s="79">
        <v>10.254731011000001</v>
      </c>
      <c r="G233" s="79">
        <v>11.755126259000001</v>
      </c>
      <c r="H233" s="79">
        <v>9.4065302708999994</v>
      </c>
      <c r="I233" s="79">
        <v>7.7950472972</v>
      </c>
      <c r="J233" s="79">
        <v>12.884507593</v>
      </c>
      <c r="K233" s="79">
        <v>7.7663434408000001</v>
      </c>
      <c r="L233" s="79">
        <v>10.784881652999999</v>
      </c>
      <c r="M233" s="79">
        <v>11.225342336000001</v>
      </c>
      <c r="N233" s="79">
        <v>6.1909809859999996</v>
      </c>
      <c r="O233" s="79">
        <v>9.3338201728999994</v>
      </c>
      <c r="P233" s="79">
        <v>6.2302971936000002</v>
      </c>
      <c r="Q233" s="79">
        <v>8.4015432016999991</v>
      </c>
      <c r="R233" s="79">
        <v>8.9606830999000007</v>
      </c>
      <c r="S233" s="79">
        <v>5.1077848978000002</v>
      </c>
      <c r="T233" s="79">
        <v>11.624338546000001</v>
      </c>
    </row>
    <row r="234" spans="1:20" x14ac:dyDescent="0.2">
      <c r="A234" s="11">
        <v>233</v>
      </c>
      <c r="B234" s="11">
        <v>3</v>
      </c>
      <c r="C234" s="12" t="s">
        <v>446</v>
      </c>
      <c r="D234" s="13" t="s">
        <v>447</v>
      </c>
      <c r="E234" s="80">
        <v>5.9087963585000001</v>
      </c>
      <c r="F234" s="80">
        <v>5.2054088461000001</v>
      </c>
      <c r="G234" s="80">
        <v>6.7448659739999997</v>
      </c>
      <c r="H234" s="80">
        <v>5.9536412279000004</v>
      </c>
      <c r="I234" s="80">
        <v>2.6147754438000002</v>
      </c>
      <c r="J234" s="80">
        <v>4.9132641858000001</v>
      </c>
      <c r="K234" s="80">
        <v>2.7951649316</v>
      </c>
      <c r="L234" s="80">
        <v>5.9202228041999998</v>
      </c>
      <c r="M234" s="80">
        <v>5.3565876385999998</v>
      </c>
      <c r="N234" s="80">
        <v>0.4845363593</v>
      </c>
      <c r="O234" s="80">
        <v>4.1837705246999999</v>
      </c>
      <c r="P234" s="80">
        <v>3.0526620742000001</v>
      </c>
      <c r="Q234" s="80">
        <v>2.4339723409</v>
      </c>
      <c r="R234" s="80">
        <v>0.82526003250000002</v>
      </c>
      <c r="S234" s="80">
        <v>0.51470506439999997</v>
      </c>
      <c r="T234" s="80">
        <v>3.4611979651000002</v>
      </c>
    </row>
    <row r="235" spans="1:20" x14ac:dyDescent="0.2">
      <c r="A235" s="11">
        <v>234</v>
      </c>
      <c r="B235" s="11">
        <v>3</v>
      </c>
      <c r="C235" s="12" t="s">
        <v>448</v>
      </c>
      <c r="D235" s="13" t="s">
        <v>449</v>
      </c>
      <c r="E235" s="80">
        <v>3.2742394911999999</v>
      </c>
      <c r="F235" s="80">
        <v>2.7824375525999998</v>
      </c>
      <c r="G235" s="80">
        <v>2.5486064562999999</v>
      </c>
      <c r="H235" s="80">
        <v>0.86618732799999998</v>
      </c>
      <c r="I235" s="80">
        <v>3.9627977859999999</v>
      </c>
      <c r="J235" s="80">
        <v>5.2839691303</v>
      </c>
      <c r="K235" s="80">
        <v>2.1892116785</v>
      </c>
      <c r="L235" s="80">
        <v>1.6794771135</v>
      </c>
      <c r="M235" s="80">
        <v>2.8419157607000001</v>
      </c>
      <c r="N235" s="80">
        <v>2.1413663297999999</v>
      </c>
      <c r="O235" s="80">
        <v>2.4082827355999998</v>
      </c>
      <c r="P235" s="80">
        <v>2.4515564137000001</v>
      </c>
      <c r="Q235" s="80">
        <v>5.0343716261000004</v>
      </c>
      <c r="R235" s="80">
        <v>5.5363718175000001</v>
      </c>
      <c r="S235" s="80">
        <v>1.9212108388</v>
      </c>
      <c r="T235" s="80">
        <v>4.4310099889999996</v>
      </c>
    </row>
    <row r="236" spans="1:20" x14ac:dyDescent="0.2">
      <c r="A236" s="11">
        <v>235</v>
      </c>
      <c r="B236" s="11">
        <v>3</v>
      </c>
      <c r="C236" s="12" t="s">
        <v>450</v>
      </c>
      <c r="D236" s="13" t="s">
        <v>451</v>
      </c>
      <c r="E236" s="80">
        <v>1.5011026923999999</v>
      </c>
      <c r="F236" s="80">
        <v>1.3549477485000001</v>
      </c>
      <c r="G236" s="80">
        <v>1.3469591875</v>
      </c>
      <c r="H236" s="80">
        <v>1.9685330313</v>
      </c>
      <c r="I236" s="80">
        <v>0.26534428539999999</v>
      </c>
      <c r="J236" s="80">
        <v>1.4953549723999999</v>
      </c>
      <c r="K236" s="80">
        <v>2.2596317637999999</v>
      </c>
      <c r="L236" s="80">
        <v>2.3674620371000001</v>
      </c>
      <c r="M236" s="80">
        <v>2.1449096858000001</v>
      </c>
      <c r="N236" s="80">
        <v>2.8932773195000001</v>
      </c>
      <c r="O236" s="80">
        <v>2.0405369817999999</v>
      </c>
      <c r="P236" s="80">
        <v>0.27778660290000001</v>
      </c>
      <c r="Q236" s="80">
        <v>0.18378543019999999</v>
      </c>
      <c r="R236" s="80">
        <v>1.7909196101</v>
      </c>
      <c r="S236" s="80">
        <v>2.2638787050000002</v>
      </c>
      <c r="T236" s="80">
        <v>2.3556865935000002</v>
      </c>
    </row>
    <row r="237" spans="1:20" x14ac:dyDescent="0.2">
      <c r="A237" s="8">
        <v>236</v>
      </c>
      <c r="B237" s="8">
        <v>2</v>
      </c>
      <c r="C237" s="9" t="s">
        <v>452</v>
      </c>
      <c r="D237" s="10" t="s">
        <v>453</v>
      </c>
      <c r="E237" s="79">
        <v>51.769324824000002</v>
      </c>
      <c r="F237" s="79">
        <v>48.147452807999997</v>
      </c>
      <c r="G237" s="79">
        <v>51.359486255999997</v>
      </c>
      <c r="H237" s="79">
        <v>42.248544741000003</v>
      </c>
      <c r="I237" s="79">
        <v>58.126232397999999</v>
      </c>
      <c r="J237" s="79">
        <v>44.192598476000001</v>
      </c>
      <c r="K237" s="79">
        <v>56.43773084</v>
      </c>
      <c r="L237" s="79">
        <v>53.679378374000002</v>
      </c>
      <c r="M237" s="79">
        <v>52.500790836</v>
      </c>
      <c r="N237" s="79">
        <v>54.833614183999998</v>
      </c>
      <c r="O237" s="79">
        <v>53.157124199000002</v>
      </c>
      <c r="P237" s="79">
        <v>53.556942769999999</v>
      </c>
      <c r="Q237" s="79">
        <v>61.201532065000002</v>
      </c>
      <c r="R237" s="79">
        <v>45.330909871000003</v>
      </c>
      <c r="S237" s="79">
        <v>56.540943005999999</v>
      </c>
      <c r="T237" s="79">
        <v>36.1871613</v>
      </c>
    </row>
    <row r="238" spans="1:20" x14ac:dyDescent="0.2">
      <c r="A238" s="11">
        <v>237</v>
      </c>
      <c r="B238" s="11">
        <v>3</v>
      </c>
      <c r="C238" s="12" t="s">
        <v>454</v>
      </c>
      <c r="D238" s="13" t="s">
        <v>453</v>
      </c>
      <c r="E238" s="80">
        <v>51.769324824000002</v>
      </c>
      <c r="F238" s="80">
        <v>48.147452807999997</v>
      </c>
      <c r="G238" s="80">
        <v>51.359486255999997</v>
      </c>
      <c r="H238" s="80">
        <v>42.248544741000003</v>
      </c>
      <c r="I238" s="80">
        <v>58.126232397999999</v>
      </c>
      <c r="J238" s="80">
        <v>44.192598476000001</v>
      </c>
      <c r="K238" s="80">
        <v>56.43773084</v>
      </c>
      <c r="L238" s="80">
        <v>53.679378374000002</v>
      </c>
      <c r="M238" s="80">
        <v>52.500790836</v>
      </c>
      <c r="N238" s="80">
        <v>54.833614183999998</v>
      </c>
      <c r="O238" s="80">
        <v>53.157124199000002</v>
      </c>
      <c r="P238" s="80">
        <v>53.556942769999999</v>
      </c>
      <c r="Q238" s="80">
        <v>61.201532065000002</v>
      </c>
      <c r="R238" s="80">
        <v>45.330909871000003</v>
      </c>
      <c r="S238" s="80">
        <v>56.540943005999999</v>
      </c>
      <c r="T238" s="80">
        <v>36.1871613</v>
      </c>
    </row>
    <row r="239" spans="1:20" x14ac:dyDescent="0.2">
      <c r="A239" s="8">
        <v>238</v>
      </c>
      <c r="B239" s="8">
        <v>2</v>
      </c>
      <c r="C239" s="9" t="s">
        <v>455</v>
      </c>
      <c r="D239" s="10" t="s">
        <v>456</v>
      </c>
      <c r="E239" s="79">
        <v>8.2324868291000008</v>
      </c>
      <c r="F239" s="79">
        <v>8.3518586814999995</v>
      </c>
      <c r="G239" s="79">
        <v>10.515874626</v>
      </c>
      <c r="H239" s="79">
        <v>14.142599852</v>
      </c>
      <c r="I239" s="79">
        <v>10.329702403000001</v>
      </c>
      <c r="J239" s="79">
        <v>11.108561929</v>
      </c>
      <c r="K239" s="79">
        <v>8.7770472992999995</v>
      </c>
      <c r="L239" s="79">
        <v>11.662643829</v>
      </c>
      <c r="M239" s="79">
        <v>8.0851032890999992</v>
      </c>
      <c r="N239" s="79">
        <v>8.9277834368000004</v>
      </c>
      <c r="O239" s="79">
        <v>7.6587541069</v>
      </c>
      <c r="P239" s="79">
        <v>5.3972738401000004</v>
      </c>
      <c r="Q239" s="79">
        <v>11.501123661999999</v>
      </c>
      <c r="R239" s="79">
        <v>8.5673375585000002</v>
      </c>
      <c r="S239" s="79">
        <v>7.7743566230000001</v>
      </c>
      <c r="T239" s="79">
        <v>3.4798389203000002</v>
      </c>
    </row>
    <row r="240" spans="1:20" s="16" customFormat="1" x14ac:dyDescent="0.2">
      <c r="A240" s="14">
        <v>239</v>
      </c>
      <c r="B240" s="14">
        <v>3</v>
      </c>
      <c r="C240" s="14" t="s">
        <v>457</v>
      </c>
      <c r="D240" s="15" t="s">
        <v>458</v>
      </c>
      <c r="E240" s="81">
        <v>0.1</v>
      </c>
      <c r="F240" s="81">
        <v>0.1</v>
      </c>
      <c r="G240" s="81">
        <v>0.1</v>
      </c>
      <c r="H240" s="81">
        <v>0.1</v>
      </c>
      <c r="I240" s="81">
        <v>0.1</v>
      </c>
      <c r="J240" s="81">
        <v>0.1</v>
      </c>
      <c r="K240" s="81">
        <v>0.1</v>
      </c>
      <c r="L240" s="81">
        <v>0.1</v>
      </c>
      <c r="M240" s="81">
        <v>0.1</v>
      </c>
      <c r="N240" s="81">
        <v>0.1</v>
      </c>
      <c r="O240" s="81">
        <v>0.1</v>
      </c>
      <c r="P240" s="81">
        <v>0.1</v>
      </c>
      <c r="Q240" s="81">
        <v>0.1</v>
      </c>
      <c r="R240" s="81">
        <v>0.1</v>
      </c>
      <c r="S240" s="81">
        <v>0.1</v>
      </c>
      <c r="T240" s="81">
        <v>0.1</v>
      </c>
    </row>
    <row r="241" spans="1:20" x14ac:dyDescent="0.2">
      <c r="A241" s="11">
        <v>240</v>
      </c>
      <c r="B241" s="11">
        <v>3</v>
      </c>
      <c r="C241" s="12" t="s">
        <v>459</v>
      </c>
      <c r="D241" s="13" t="s">
        <v>460</v>
      </c>
      <c r="E241" s="80">
        <v>7.8874204155000003</v>
      </c>
      <c r="F241" s="80">
        <v>7.5651570543000002</v>
      </c>
      <c r="G241" s="80">
        <v>10.622745612999999</v>
      </c>
      <c r="H241" s="80">
        <v>12.875972759</v>
      </c>
      <c r="I241" s="80">
        <v>9.0134318976000003</v>
      </c>
      <c r="J241" s="80">
        <v>10.354562768999999</v>
      </c>
      <c r="K241" s="80">
        <v>8.1426311670999993</v>
      </c>
      <c r="L241" s="80">
        <v>11.035615301</v>
      </c>
      <c r="M241" s="80">
        <v>6.208232229</v>
      </c>
      <c r="N241" s="80">
        <v>8.7625064357000007</v>
      </c>
      <c r="O241" s="80">
        <v>6.5968006629999998</v>
      </c>
      <c r="P241" s="80">
        <v>5.2066305005000002</v>
      </c>
      <c r="Q241" s="80">
        <v>10.113068484999999</v>
      </c>
      <c r="R241" s="80">
        <v>6.3031960139000001</v>
      </c>
      <c r="S241" s="80">
        <v>8.4631903243999993</v>
      </c>
      <c r="T241" s="80">
        <v>2.2048336827999999</v>
      </c>
    </row>
    <row r="242" spans="1:20" x14ac:dyDescent="0.2">
      <c r="A242" s="11">
        <v>241</v>
      </c>
      <c r="B242" s="11">
        <v>3</v>
      </c>
      <c r="C242" s="12" t="s">
        <v>461</v>
      </c>
      <c r="D242" s="13" t="s">
        <v>462</v>
      </c>
      <c r="E242" s="80">
        <v>0.27170298399999998</v>
      </c>
      <c r="F242" s="80">
        <v>0.69174935380000002</v>
      </c>
      <c r="G242" s="80">
        <v>8.3097812500000007E-2</v>
      </c>
      <c r="H242" s="80">
        <v>1.1870578698000001</v>
      </c>
      <c r="I242" s="80">
        <v>1.1559336149999999</v>
      </c>
      <c r="J242" s="80">
        <v>0.75731895199999999</v>
      </c>
      <c r="K242" s="80">
        <v>0.62396897240000004</v>
      </c>
      <c r="L242" s="80">
        <v>0.67851851839999999</v>
      </c>
      <c r="M242" s="80">
        <v>1.3457626238</v>
      </c>
      <c r="N242" s="80">
        <v>0.41171768710000001</v>
      </c>
      <c r="O242" s="80">
        <v>0.9429476108</v>
      </c>
      <c r="P242" s="80">
        <v>0.39793534930000002</v>
      </c>
      <c r="Q242" s="80">
        <v>1.4222622535</v>
      </c>
      <c r="R242" s="80">
        <v>1.7534189939</v>
      </c>
      <c r="S242" s="80">
        <v>0.1796837822</v>
      </c>
      <c r="T242" s="80">
        <v>0.87492162579999999</v>
      </c>
    </row>
    <row r="243" spans="1:20" x14ac:dyDescent="0.2">
      <c r="A243" s="8">
        <v>242</v>
      </c>
      <c r="B243" s="8">
        <v>2</v>
      </c>
      <c r="C243" s="9" t="s">
        <v>463</v>
      </c>
      <c r="D243" s="10" t="s">
        <v>464</v>
      </c>
      <c r="E243" s="79">
        <v>83.601440314000001</v>
      </c>
      <c r="F243" s="79">
        <v>74.253225532000002</v>
      </c>
      <c r="G243" s="79">
        <v>92.961104105000004</v>
      </c>
      <c r="H243" s="79">
        <v>95.314265642999999</v>
      </c>
      <c r="I243" s="79">
        <v>106.37634009999999</v>
      </c>
      <c r="J243" s="79">
        <v>92.583585518999996</v>
      </c>
      <c r="K243" s="79">
        <v>85.358954169</v>
      </c>
      <c r="L243" s="79">
        <v>83.650594179999999</v>
      </c>
      <c r="M243" s="79">
        <v>85.212330453000007</v>
      </c>
      <c r="N243" s="79">
        <v>93.427772916999999</v>
      </c>
      <c r="O243" s="79">
        <v>91.432692953</v>
      </c>
      <c r="P243" s="79">
        <v>96.295810695</v>
      </c>
      <c r="Q243" s="79">
        <v>79.463886373999998</v>
      </c>
      <c r="R243" s="79">
        <v>88.459460038000003</v>
      </c>
      <c r="S243" s="79">
        <v>98.413560786000005</v>
      </c>
      <c r="T243" s="79">
        <v>94.413869872999996</v>
      </c>
    </row>
    <row r="244" spans="1:20" x14ac:dyDescent="0.2">
      <c r="A244" s="11">
        <v>243</v>
      </c>
      <c r="B244" s="11">
        <v>3</v>
      </c>
      <c r="C244" s="12" t="s">
        <v>465</v>
      </c>
      <c r="D244" s="13" t="s">
        <v>464</v>
      </c>
      <c r="E244" s="80">
        <v>83.601440314000001</v>
      </c>
      <c r="F244" s="80">
        <v>74.253225532000002</v>
      </c>
      <c r="G244" s="80">
        <v>92.961104105000004</v>
      </c>
      <c r="H244" s="80">
        <v>95.314265642999999</v>
      </c>
      <c r="I244" s="80">
        <v>106.37634009999999</v>
      </c>
      <c r="J244" s="80">
        <v>92.583585518999996</v>
      </c>
      <c r="K244" s="80">
        <v>85.358954169</v>
      </c>
      <c r="L244" s="80">
        <v>83.650594179999999</v>
      </c>
      <c r="M244" s="80">
        <v>85.212330453000007</v>
      </c>
      <c r="N244" s="80">
        <v>93.427772916999999</v>
      </c>
      <c r="O244" s="80">
        <v>91.432692953</v>
      </c>
      <c r="P244" s="80">
        <v>96.295810695</v>
      </c>
      <c r="Q244" s="80">
        <v>79.463886373999998</v>
      </c>
      <c r="R244" s="80">
        <v>88.459460038000003</v>
      </c>
      <c r="S244" s="80">
        <v>98.413560786000005</v>
      </c>
      <c r="T244" s="80">
        <v>94.413869872999996</v>
      </c>
    </row>
    <row r="245" spans="1:20" x14ac:dyDescent="0.2">
      <c r="A245" s="8">
        <v>244</v>
      </c>
      <c r="B245" s="8">
        <v>2</v>
      </c>
      <c r="C245" s="9" t="s">
        <v>466</v>
      </c>
      <c r="D245" s="10" t="s">
        <v>467</v>
      </c>
      <c r="E245" s="79">
        <v>41.656653949000003</v>
      </c>
      <c r="F245" s="79">
        <v>43.592912016</v>
      </c>
      <c r="G245" s="79">
        <v>47.308034262</v>
      </c>
      <c r="H245" s="79">
        <v>56.830094170000002</v>
      </c>
      <c r="I245" s="79">
        <v>63.832597966999998</v>
      </c>
      <c r="J245" s="79">
        <v>76.601553723999999</v>
      </c>
      <c r="K245" s="79">
        <v>68.901787822000003</v>
      </c>
      <c r="L245" s="79">
        <v>57.828159530000001</v>
      </c>
      <c r="M245" s="79">
        <v>83.741895776999996</v>
      </c>
      <c r="N245" s="79">
        <v>70.728838429000007</v>
      </c>
      <c r="O245" s="79">
        <v>80.597335954000002</v>
      </c>
      <c r="P245" s="79">
        <v>83.499243050999993</v>
      </c>
      <c r="Q245" s="79">
        <v>84.715684573000004</v>
      </c>
      <c r="R245" s="79">
        <v>85.791441863000003</v>
      </c>
      <c r="S245" s="79">
        <v>95.999868617999994</v>
      </c>
      <c r="T245" s="79">
        <v>72.097616724000005</v>
      </c>
    </row>
    <row r="246" spans="1:20" x14ac:dyDescent="0.2">
      <c r="A246" s="11">
        <v>245</v>
      </c>
      <c r="B246" s="11">
        <v>3</v>
      </c>
      <c r="C246" s="12" t="s">
        <v>468</v>
      </c>
      <c r="D246" s="13" t="s">
        <v>469</v>
      </c>
      <c r="E246" s="80">
        <v>0.10060314670000001</v>
      </c>
      <c r="F246" s="80">
        <v>9.8893676099999994E-2</v>
      </c>
      <c r="G246" s="80">
        <v>0.36659283970000001</v>
      </c>
      <c r="H246" s="80">
        <v>9.5653706300000002E-2</v>
      </c>
      <c r="I246" s="80">
        <v>9.4450685600000001E-2</v>
      </c>
      <c r="J246" s="80">
        <v>0.18372036899999999</v>
      </c>
      <c r="K246" s="80">
        <v>9.3120913999999999E-2</v>
      </c>
      <c r="L246" s="80">
        <v>9.4039831899999995E-2</v>
      </c>
      <c r="M246" s="80">
        <v>0.26998544920000001</v>
      </c>
      <c r="N246" s="80">
        <v>9.7269344499999993E-2</v>
      </c>
      <c r="O246" s="80">
        <v>9.4553274899999998E-2</v>
      </c>
      <c r="P246" s="80">
        <v>9.1359054499999995E-2</v>
      </c>
      <c r="Q246" s="80">
        <v>0.73384612510000002</v>
      </c>
      <c r="R246" s="80">
        <v>1.1395851289000001</v>
      </c>
      <c r="S246" s="80">
        <v>0.35254473050000001</v>
      </c>
      <c r="T246" s="80">
        <v>8.5449190300000005E-2</v>
      </c>
    </row>
    <row r="247" spans="1:20" x14ac:dyDescent="0.2">
      <c r="A247" s="11">
        <v>246</v>
      </c>
      <c r="B247" s="11">
        <v>3</v>
      </c>
      <c r="C247" s="12" t="s">
        <v>470</v>
      </c>
      <c r="D247" s="13" t="s">
        <v>471</v>
      </c>
      <c r="E247" s="80">
        <v>13.641338593</v>
      </c>
      <c r="F247" s="80">
        <v>14.916803912000001</v>
      </c>
      <c r="G247" s="80">
        <v>16.318233876000001</v>
      </c>
      <c r="H247" s="80">
        <v>13.517650894999999</v>
      </c>
      <c r="I247" s="80">
        <v>13.027604096999999</v>
      </c>
      <c r="J247" s="80">
        <v>23.163862508000001</v>
      </c>
      <c r="K247" s="80">
        <v>14.325612069</v>
      </c>
      <c r="L247" s="80">
        <v>12.787628413</v>
      </c>
      <c r="M247" s="80">
        <v>23.154669354999999</v>
      </c>
      <c r="N247" s="80">
        <v>18.587210026000001</v>
      </c>
      <c r="O247" s="80">
        <v>20.258534437000002</v>
      </c>
      <c r="P247" s="80">
        <v>16.131612367999999</v>
      </c>
      <c r="Q247" s="80">
        <v>18.347850124000001</v>
      </c>
      <c r="R247" s="80">
        <v>21.704211658999998</v>
      </c>
      <c r="S247" s="80">
        <v>17.711848026999998</v>
      </c>
      <c r="T247" s="80">
        <v>19.22219325</v>
      </c>
    </row>
    <row r="248" spans="1:20" x14ac:dyDescent="0.2">
      <c r="A248" s="11">
        <v>247</v>
      </c>
      <c r="B248" s="11">
        <v>3</v>
      </c>
      <c r="C248" s="12" t="s">
        <v>472</v>
      </c>
      <c r="D248" s="13" t="s">
        <v>473</v>
      </c>
      <c r="E248" s="80">
        <v>5.4382404722000004</v>
      </c>
      <c r="F248" s="80">
        <v>8.2981199973000006</v>
      </c>
      <c r="G248" s="80">
        <v>7.0424041209999997</v>
      </c>
      <c r="H248" s="80">
        <v>7.2616867111000003</v>
      </c>
      <c r="I248" s="80">
        <v>7.5575551459000003</v>
      </c>
      <c r="J248" s="80">
        <v>8.1830284340000006</v>
      </c>
      <c r="K248" s="80">
        <v>9.3119535896999999</v>
      </c>
      <c r="L248" s="80">
        <v>9.7752804554000008</v>
      </c>
      <c r="M248" s="80">
        <v>11.352043893999999</v>
      </c>
      <c r="N248" s="80">
        <v>12.542336070999999</v>
      </c>
      <c r="O248" s="80">
        <v>11.596931551999999</v>
      </c>
      <c r="P248" s="80">
        <v>11.345747815999999</v>
      </c>
      <c r="Q248" s="80">
        <v>15.467353317000001</v>
      </c>
      <c r="R248" s="80">
        <v>11.313852308</v>
      </c>
      <c r="S248" s="80">
        <v>14.687007398</v>
      </c>
      <c r="T248" s="80">
        <v>12.70128553</v>
      </c>
    </row>
    <row r="249" spans="1:20" x14ac:dyDescent="0.2">
      <c r="A249" s="11">
        <v>248</v>
      </c>
      <c r="B249" s="11">
        <v>3</v>
      </c>
      <c r="C249" s="12" t="s">
        <v>474</v>
      </c>
      <c r="D249" s="13" t="s">
        <v>475</v>
      </c>
      <c r="E249" s="80">
        <v>23.223491067000001</v>
      </c>
      <c r="F249" s="80">
        <v>21.138195783</v>
      </c>
      <c r="G249" s="80">
        <v>24.280585882</v>
      </c>
      <c r="H249" s="80">
        <v>36.849863112000001</v>
      </c>
      <c r="I249" s="80">
        <v>43.769013799</v>
      </c>
      <c r="J249" s="80">
        <v>45.009984637000002</v>
      </c>
      <c r="K249" s="80">
        <v>44.724814146</v>
      </c>
      <c r="L249" s="80">
        <v>34.601602255000003</v>
      </c>
      <c r="M249" s="80">
        <v>48.080460311000003</v>
      </c>
      <c r="N249" s="80">
        <v>38.764621689999998</v>
      </c>
      <c r="O249" s="80">
        <v>47.935121070000001</v>
      </c>
      <c r="P249" s="80">
        <v>55.299656460000001</v>
      </c>
      <c r="Q249" s="80">
        <v>48.909793104999999</v>
      </c>
      <c r="R249" s="80">
        <v>49.775722344000002</v>
      </c>
      <c r="S249" s="80">
        <v>61.660802947999997</v>
      </c>
      <c r="T249" s="80">
        <v>38.454993651000002</v>
      </c>
    </row>
    <row r="250" spans="1:20" x14ac:dyDescent="0.2">
      <c r="A250" s="8">
        <v>249</v>
      </c>
      <c r="B250" s="8">
        <v>2</v>
      </c>
      <c r="C250" s="9" t="s">
        <v>476</v>
      </c>
      <c r="D250" s="10" t="s">
        <v>477</v>
      </c>
      <c r="E250" s="79">
        <v>42.192111034</v>
      </c>
      <c r="F250" s="79">
        <v>48.097353730000002</v>
      </c>
      <c r="G250" s="79">
        <v>46.129824915999997</v>
      </c>
      <c r="H250" s="79">
        <v>61.160865370000003</v>
      </c>
      <c r="I250" s="79">
        <v>39.544920099999999</v>
      </c>
      <c r="J250" s="79">
        <v>58.549658350999998</v>
      </c>
      <c r="K250" s="79">
        <v>49.374976842999999</v>
      </c>
      <c r="L250" s="79">
        <v>53.792619064</v>
      </c>
      <c r="M250" s="79">
        <v>49.371040012999998</v>
      </c>
      <c r="N250" s="79">
        <v>57.067380464999999</v>
      </c>
      <c r="O250" s="79">
        <v>67.283513350999996</v>
      </c>
      <c r="P250" s="79">
        <v>52.290441393000002</v>
      </c>
      <c r="Q250" s="79">
        <v>64.972450711999997</v>
      </c>
      <c r="R250" s="79">
        <v>47.948236479000002</v>
      </c>
      <c r="S250" s="79">
        <v>68.523070317999995</v>
      </c>
      <c r="T250" s="79">
        <v>79.708249606999999</v>
      </c>
    </row>
    <row r="251" spans="1:20" x14ac:dyDescent="0.2">
      <c r="A251" s="11">
        <v>250</v>
      </c>
      <c r="B251" s="11">
        <v>3</v>
      </c>
      <c r="C251" s="12" t="s">
        <v>478</v>
      </c>
      <c r="D251" s="13" t="s">
        <v>477</v>
      </c>
      <c r="E251" s="80">
        <v>42.192111034</v>
      </c>
      <c r="F251" s="80">
        <v>48.097353730000002</v>
      </c>
      <c r="G251" s="80">
        <v>46.129824915999997</v>
      </c>
      <c r="H251" s="80">
        <v>61.160865370000003</v>
      </c>
      <c r="I251" s="80">
        <v>39.544920099999999</v>
      </c>
      <c r="J251" s="80">
        <v>58.549658350999998</v>
      </c>
      <c r="K251" s="80">
        <v>49.374976842999999</v>
      </c>
      <c r="L251" s="80">
        <v>53.792619064</v>
      </c>
      <c r="M251" s="80">
        <v>49.371040012999998</v>
      </c>
      <c r="N251" s="80">
        <v>57.067380464999999</v>
      </c>
      <c r="O251" s="80">
        <v>67.283513350999996</v>
      </c>
      <c r="P251" s="80">
        <v>52.290441393000002</v>
      </c>
      <c r="Q251" s="80">
        <v>64.972450711999997</v>
      </c>
      <c r="R251" s="80">
        <v>47.948236479000002</v>
      </c>
      <c r="S251" s="80">
        <v>68.523070317999995</v>
      </c>
      <c r="T251" s="80">
        <v>79.708249606999999</v>
      </c>
    </row>
    <row r="252" spans="1:20" x14ac:dyDescent="0.2">
      <c r="A252" s="8">
        <v>251</v>
      </c>
      <c r="B252" s="8">
        <v>2</v>
      </c>
      <c r="C252" s="9" t="s">
        <v>479</v>
      </c>
      <c r="D252" s="10" t="s">
        <v>480</v>
      </c>
      <c r="E252" s="79">
        <v>24.242760088000001</v>
      </c>
      <c r="F252" s="79">
        <v>16.164627525</v>
      </c>
      <c r="G252" s="79">
        <v>15.109038242</v>
      </c>
      <c r="H252" s="79">
        <v>12.657992506999999</v>
      </c>
      <c r="I252" s="79">
        <v>13.540072988</v>
      </c>
      <c r="J252" s="79">
        <v>13.495309346000001</v>
      </c>
      <c r="K252" s="79">
        <v>14.617522176</v>
      </c>
      <c r="L252" s="79">
        <v>18.983059822000001</v>
      </c>
      <c r="M252" s="79">
        <v>23.371625169000001</v>
      </c>
      <c r="N252" s="79">
        <v>17.664352876999999</v>
      </c>
      <c r="O252" s="79">
        <v>16.927425327000002</v>
      </c>
      <c r="P252" s="79">
        <v>9.0424229347999994</v>
      </c>
      <c r="Q252" s="79">
        <v>13.662296727999999</v>
      </c>
      <c r="R252" s="79">
        <v>1.7088600926999999</v>
      </c>
      <c r="S252" s="79">
        <v>0.26432284299999997</v>
      </c>
      <c r="T252" s="79">
        <v>0.63539275090000003</v>
      </c>
    </row>
    <row r="253" spans="1:20" x14ac:dyDescent="0.2">
      <c r="A253" s="11">
        <v>252</v>
      </c>
      <c r="B253" s="11">
        <v>3</v>
      </c>
      <c r="C253" s="12" t="s">
        <v>481</v>
      </c>
      <c r="D253" s="13" t="s">
        <v>480</v>
      </c>
      <c r="E253" s="80">
        <v>24.242760088000001</v>
      </c>
      <c r="F253" s="80">
        <v>16.164627525</v>
      </c>
      <c r="G253" s="80">
        <v>15.109038242</v>
      </c>
      <c r="H253" s="80">
        <v>12.657992506999999</v>
      </c>
      <c r="I253" s="80">
        <v>13.540072988</v>
      </c>
      <c r="J253" s="80">
        <v>13.495309346000001</v>
      </c>
      <c r="K253" s="80">
        <v>14.617522176</v>
      </c>
      <c r="L253" s="80">
        <v>18.983059822000001</v>
      </c>
      <c r="M253" s="80">
        <v>23.371625169000001</v>
      </c>
      <c r="N253" s="80">
        <v>17.664352876999999</v>
      </c>
      <c r="O253" s="80">
        <v>16.927425327000002</v>
      </c>
      <c r="P253" s="80">
        <v>9.0424229347999994</v>
      </c>
      <c r="Q253" s="80">
        <v>13.662296727999999</v>
      </c>
      <c r="R253" s="80">
        <v>1.7088600926999999</v>
      </c>
      <c r="S253" s="80">
        <v>0.26432284299999997</v>
      </c>
      <c r="T253" s="80">
        <v>0.63539275090000003</v>
      </c>
    </row>
    <row r="254" spans="1:20" ht="15" x14ac:dyDescent="0.25">
      <c r="A254" s="4">
        <v>253</v>
      </c>
      <c r="B254" s="4">
        <v>1</v>
      </c>
      <c r="C254" s="5" t="s">
        <v>482</v>
      </c>
      <c r="D254" s="6" t="s">
        <v>483</v>
      </c>
      <c r="E254" s="78">
        <v>238.88779650000001</v>
      </c>
      <c r="F254" s="78">
        <v>237.98370270000001</v>
      </c>
      <c r="G254" s="78">
        <v>245.57159809999999</v>
      </c>
      <c r="H254" s="78">
        <v>217.8699483</v>
      </c>
      <c r="I254" s="78">
        <v>218.77347979999999</v>
      </c>
      <c r="J254" s="78">
        <v>215.22328730000001</v>
      </c>
      <c r="K254" s="78">
        <v>210.3535784</v>
      </c>
      <c r="L254" s="78">
        <v>229.30722539999999</v>
      </c>
      <c r="M254" s="78">
        <v>214.51400530000001</v>
      </c>
      <c r="N254" s="78">
        <v>199.61584719999999</v>
      </c>
      <c r="O254" s="78">
        <v>205.77371489999999</v>
      </c>
      <c r="P254" s="78">
        <v>194.7606949</v>
      </c>
      <c r="Q254" s="78">
        <v>226.02043649999999</v>
      </c>
      <c r="R254" s="78">
        <v>230.07036830000001</v>
      </c>
      <c r="S254" s="78">
        <v>198.18423050000001</v>
      </c>
      <c r="T254" s="78">
        <v>183.4965311</v>
      </c>
    </row>
    <row r="255" spans="1:20" x14ac:dyDescent="0.2">
      <c r="A255" s="8">
        <v>254</v>
      </c>
      <c r="B255" s="8">
        <v>2</v>
      </c>
      <c r="C255" s="9" t="s">
        <v>484</v>
      </c>
      <c r="D255" s="10" t="s">
        <v>485</v>
      </c>
      <c r="E255" s="79">
        <v>49.178480616000002</v>
      </c>
      <c r="F255" s="79">
        <v>47.180085403</v>
      </c>
      <c r="G255" s="79">
        <v>57.631859951000003</v>
      </c>
      <c r="H255" s="79">
        <v>46.071429926999997</v>
      </c>
      <c r="I255" s="79">
        <v>49.240736906999999</v>
      </c>
      <c r="J255" s="79">
        <v>42.556066790000003</v>
      </c>
      <c r="K255" s="79">
        <v>43.271023086</v>
      </c>
      <c r="L255" s="79">
        <v>46.896140840000001</v>
      </c>
      <c r="M255" s="79">
        <v>38.439419606000001</v>
      </c>
      <c r="N255" s="79">
        <v>38.884798089999997</v>
      </c>
      <c r="O255" s="79">
        <v>30.562557429999998</v>
      </c>
      <c r="P255" s="79">
        <v>27.395341529</v>
      </c>
      <c r="Q255" s="79">
        <v>36.084619115999999</v>
      </c>
      <c r="R255" s="79">
        <v>28.819405429</v>
      </c>
      <c r="S255" s="79">
        <v>23.241611913</v>
      </c>
      <c r="T255" s="79">
        <v>20.942311693000001</v>
      </c>
    </row>
    <row r="256" spans="1:20" x14ac:dyDescent="0.2">
      <c r="A256" s="11">
        <v>255</v>
      </c>
      <c r="B256" s="11">
        <v>3</v>
      </c>
      <c r="C256" s="12" t="s">
        <v>486</v>
      </c>
      <c r="D256" s="13" t="s">
        <v>487</v>
      </c>
      <c r="E256" s="80">
        <v>4.9832816378000002</v>
      </c>
      <c r="F256" s="80">
        <v>4.8975667529000004</v>
      </c>
      <c r="G256" s="80">
        <v>4.3851293590999996</v>
      </c>
      <c r="H256" s="80">
        <v>6.3318692184999996</v>
      </c>
      <c r="I256" s="80">
        <v>3.0904517783999998</v>
      </c>
      <c r="J256" s="80">
        <v>5.6693192263999999</v>
      </c>
      <c r="K256" s="80">
        <v>5.9512630761</v>
      </c>
      <c r="L256" s="80">
        <v>5.6311720926</v>
      </c>
      <c r="M256" s="80">
        <v>5.4421122336999996</v>
      </c>
      <c r="N256" s="80">
        <v>6.6981065037</v>
      </c>
      <c r="O256" s="80">
        <v>3.6681932467</v>
      </c>
      <c r="P256" s="80">
        <v>4.1400492234000001</v>
      </c>
      <c r="Q256" s="80">
        <v>2.8064684753</v>
      </c>
      <c r="R256" s="80">
        <v>1.7419656400000001</v>
      </c>
      <c r="S256" s="80">
        <v>3.3561558643999998</v>
      </c>
      <c r="T256" s="80">
        <v>4.6281139773</v>
      </c>
    </row>
    <row r="257" spans="1:20" x14ac:dyDescent="0.2">
      <c r="A257" s="11">
        <v>256</v>
      </c>
      <c r="B257" s="11">
        <v>3</v>
      </c>
      <c r="C257" s="12" t="s">
        <v>488</v>
      </c>
      <c r="D257" s="13" t="s">
        <v>489</v>
      </c>
      <c r="E257" s="80">
        <v>44.464383720000001</v>
      </c>
      <c r="F257" s="80">
        <v>42.641629602999998</v>
      </c>
      <c r="G257" s="80">
        <v>53.674789320999999</v>
      </c>
      <c r="H257" s="80">
        <v>39.884202195999997</v>
      </c>
      <c r="I257" s="80">
        <v>46.376985798</v>
      </c>
      <c r="J257" s="80">
        <v>37.252735221000002</v>
      </c>
      <c r="K257" s="80">
        <v>37.428521721999999</v>
      </c>
      <c r="L257" s="80">
        <v>41.133339345000003</v>
      </c>
      <c r="M257" s="80">
        <v>33.047527088000002</v>
      </c>
      <c r="N257" s="80">
        <v>32.628543544000003</v>
      </c>
      <c r="O257" s="80">
        <v>27.195961723</v>
      </c>
      <c r="P257" s="80">
        <v>23.893002332999998</v>
      </c>
      <c r="Q257" s="80">
        <v>33.332735247999999</v>
      </c>
      <c r="R257" s="80">
        <v>26.739750751999999</v>
      </c>
      <c r="S257" s="80">
        <v>20.264150826000002</v>
      </c>
      <c r="T257" s="80">
        <v>17.320705758999999</v>
      </c>
    </row>
    <row r="258" spans="1:20" x14ac:dyDescent="0.2">
      <c r="A258" s="11">
        <v>257</v>
      </c>
      <c r="B258" s="11">
        <v>3</v>
      </c>
      <c r="C258" s="12" t="s">
        <v>490</v>
      </c>
      <c r="D258" s="13" t="s">
        <v>491</v>
      </c>
      <c r="E258" s="80">
        <v>9.9224419899999999E-2</v>
      </c>
      <c r="F258" s="80">
        <v>9.7501415800000005E-2</v>
      </c>
      <c r="G258" s="80">
        <v>9.6355010699999993E-2</v>
      </c>
      <c r="H258" s="80">
        <v>0.40771401400000001</v>
      </c>
      <c r="I258" s="80">
        <v>9.5823274E-2</v>
      </c>
      <c r="J258" s="80">
        <v>9.6380524800000006E-2</v>
      </c>
      <c r="K258" s="80">
        <v>9.8235503099999996E-2</v>
      </c>
      <c r="L258" s="80">
        <v>0.1002597527</v>
      </c>
      <c r="M258" s="80">
        <v>0.10257262189999999</v>
      </c>
      <c r="N258" s="80">
        <v>0.1044577086</v>
      </c>
      <c r="O258" s="80">
        <v>0.1067080707</v>
      </c>
      <c r="P258" s="80">
        <v>0.1084466962</v>
      </c>
      <c r="Q258" s="80">
        <v>0.1094015706</v>
      </c>
      <c r="R258" s="80">
        <v>0.1094316936</v>
      </c>
      <c r="S258" s="80">
        <v>0.10954921369999999</v>
      </c>
      <c r="T258" s="80">
        <v>0.10958953389999999</v>
      </c>
    </row>
    <row r="259" spans="1:20" x14ac:dyDescent="0.2">
      <c r="A259" s="8">
        <v>258</v>
      </c>
      <c r="B259" s="8">
        <v>2</v>
      </c>
      <c r="C259" s="9" t="s">
        <v>492</v>
      </c>
      <c r="D259" s="10" t="s">
        <v>493</v>
      </c>
      <c r="E259" s="79">
        <v>27.810871355</v>
      </c>
      <c r="F259" s="79">
        <v>22.658475068000001</v>
      </c>
      <c r="G259" s="79">
        <v>24.612141098999999</v>
      </c>
      <c r="H259" s="79">
        <v>19.560073824</v>
      </c>
      <c r="I259" s="79">
        <v>31.490726552000002</v>
      </c>
      <c r="J259" s="79">
        <v>25.927201067999999</v>
      </c>
      <c r="K259" s="79">
        <v>22.735276523</v>
      </c>
      <c r="L259" s="79">
        <v>33.282630228000002</v>
      </c>
      <c r="M259" s="79">
        <v>28.587255213999999</v>
      </c>
      <c r="N259" s="79">
        <v>23.191619792000001</v>
      </c>
      <c r="O259" s="79">
        <v>30.439121247999999</v>
      </c>
      <c r="P259" s="79">
        <v>28.315061768</v>
      </c>
      <c r="Q259" s="79">
        <v>36.229879058000002</v>
      </c>
      <c r="R259" s="79">
        <v>41.697284295999999</v>
      </c>
      <c r="S259" s="79">
        <v>35.862307604999998</v>
      </c>
      <c r="T259" s="79">
        <v>20.955950262000002</v>
      </c>
    </row>
    <row r="260" spans="1:20" x14ac:dyDescent="0.2">
      <c r="A260" s="11">
        <v>259</v>
      </c>
      <c r="B260" s="11">
        <v>3</v>
      </c>
      <c r="C260" s="12" t="s">
        <v>494</v>
      </c>
      <c r="D260" s="13" t="s">
        <v>495</v>
      </c>
      <c r="E260" s="80">
        <v>0.1012567596</v>
      </c>
      <c r="F260" s="80">
        <v>0.1012844633</v>
      </c>
      <c r="G260" s="80">
        <v>0.10129837429999999</v>
      </c>
      <c r="H260" s="80">
        <v>0.1012050213</v>
      </c>
      <c r="I260" s="80">
        <v>0.1003071286</v>
      </c>
      <c r="J260" s="80">
        <v>9.8385160900000004E-2</v>
      </c>
      <c r="K260" s="80">
        <v>9.6079964099999998E-2</v>
      </c>
      <c r="L260" s="80">
        <v>9.3790797699999998E-2</v>
      </c>
      <c r="M260" s="80">
        <v>0.52724614690000005</v>
      </c>
      <c r="N260" s="80">
        <v>9.2724024200000005E-2</v>
      </c>
      <c r="O260" s="80">
        <v>9.5166146300000004E-2</v>
      </c>
      <c r="P260" s="80">
        <v>9.9449213300000006E-2</v>
      </c>
      <c r="Q260" s="80">
        <v>0.10566700179999999</v>
      </c>
      <c r="R260" s="80">
        <v>0.1111422423</v>
      </c>
      <c r="S260" s="80">
        <v>0.115695904</v>
      </c>
      <c r="T260" s="80">
        <v>0.11776819719999999</v>
      </c>
    </row>
    <row r="261" spans="1:20" x14ac:dyDescent="0.2">
      <c r="A261" s="11">
        <v>260</v>
      </c>
      <c r="B261" s="11">
        <v>3</v>
      </c>
      <c r="C261" s="12" t="s">
        <v>496</v>
      </c>
      <c r="D261" s="13" t="s">
        <v>497</v>
      </c>
      <c r="E261" s="80">
        <v>26.705346195000001</v>
      </c>
      <c r="F261" s="80">
        <v>21.433129353999998</v>
      </c>
      <c r="G261" s="80">
        <v>22.927512713999999</v>
      </c>
      <c r="H261" s="80">
        <v>17.705488664000001</v>
      </c>
      <c r="I261" s="80">
        <v>29.680351274</v>
      </c>
      <c r="J261" s="80">
        <v>23.772173649999999</v>
      </c>
      <c r="K261" s="80">
        <v>20.764548841</v>
      </c>
      <c r="L261" s="80">
        <v>30.631785036</v>
      </c>
      <c r="M261" s="80">
        <v>25.837617537</v>
      </c>
      <c r="N261" s="80">
        <v>21.252832374</v>
      </c>
      <c r="O261" s="80">
        <v>28.386306968</v>
      </c>
      <c r="P261" s="80">
        <v>26.666758582</v>
      </c>
      <c r="Q261" s="80">
        <v>34.014402328000003</v>
      </c>
      <c r="R261" s="80">
        <v>37.98463752</v>
      </c>
      <c r="S261" s="80">
        <v>35.799600069999997</v>
      </c>
      <c r="T261" s="80">
        <v>18.491324368000001</v>
      </c>
    </row>
    <row r="262" spans="1:20" x14ac:dyDescent="0.2">
      <c r="A262" s="11">
        <v>261</v>
      </c>
      <c r="B262" s="11">
        <v>3</v>
      </c>
      <c r="C262" s="12" t="s">
        <v>498</v>
      </c>
      <c r="D262" s="13" t="s">
        <v>499</v>
      </c>
      <c r="E262" s="80">
        <v>1.2824136290999999</v>
      </c>
      <c r="F262" s="80">
        <v>1.4274827707</v>
      </c>
      <c r="G262" s="80">
        <v>2.0021322313000001</v>
      </c>
      <c r="H262" s="80">
        <v>2.0563300322</v>
      </c>
      <c r="I262" s="80">
        <v>2.3839355050000002</v>
      </c>
      <c r="J262" s="80">
        <v>2.4615694099000001</v>
      </c>
      <c r="K262" s="80">
        <v>2.2032568376000001</v>
      </c>
      <c r="L262" s="80">
        <v>2.8738402720999998</v>
      </c>
      <c r="M262" s="80">
        <v>2.3217687050000002</v>
      </c>
      <c r="N262" s="80">
        <v>1.9518086299999999</v>
      </c>
      <c r="O262" s="80">
        <v>1.9988630950999999</v>
      </c>
      <c r="P262" s="80">
        <v>1.4879070332</v>
      </c>
      <c r="Q262" s="80">
        <v>1.9302268073</v>
      </c>
      <c r="R262" s="80">
        <v>3.1932219122999999</v>
      </c>
      <c r="S262" s="80">
        <v>8.4812664100000004E-2</v>
      </c>
      <c r="T262" s="80">
        <v>1.9788735004</v>
      </c>
    </row>
    <row r="263" spans="1:20" x14ac:dyDescent="0.2">
      <c r="A263" s="8">
        <v>262</v>
      </c>
      <c r="B263" s="8">
        <v>2</v>
      </c>
      <c r="C263" s="9" t="s">
        <v>500</v>
      </c>
      <c r="D263" s="10" t="s">
        <v>501</v>
      </c>
      <c r="E263" s="79">
        <v>29.427196273</v>
      </c>
      <c r="F263" s="79">
        <v>26.542760766000001</v>
      </c>
      <c r="G263" s="79">
        <v>26.838453094999998</v>
      </c>
      <c r="H263" s="79">
        <v>29.640081307999999</v>
      </c>
      <c r="I263" s="79">
        <v>22.159619875000001</v>
      </c>
      <c r="J263" s="79">
        <v>28.464179342000001</v>
      </c>
      <c r="K263" s="79">
        <v>27.026041359000001</v>
      </c>
      <c r="L263" s="79">
        <v>29.782535920000001</v>
      </c>
      <c r="M263" s="79">
        <v>27.107383389999999</v>
      </c>
      <c r="N263" s="79">
        <v>25.805049024999999</v>
      </c>
      <c r="O263" s="79">
        <v>29.173179648000001</v>
      </c>
      <c r="P263" s="79">
        <v>27.335248978999999</v>
      </c>
      <c r="Q263" s="79">
        <v>33.076728154999998</v>
      </c>
      <c r="R263" s="79">
        <v>34.406043183999998</v>
      </c>
      <c r="S263" s="79">
        <v>26.781968815999999</v>
      </c>
      <c r="T263" s="79">
        <v>37.489202300000002</v>
      </c>
    </row>
    <row r="264" spans="1:20" x14ac:dyDescent="0.2">
      <c r="A264" s="11">
        <v>263</v>
      </c>
      <c r="B264" s="11">
        <v>3</v>
      </c>
      <c r="C264" s="12" t="s">
        <v>502</v>
      </c>
      <c r="D264" s="13" t="s">
        <v>503</v>
      </c>
      <c r="E264" s="80">
        <v>0.1205362346</v>
      </c>
      <c r="F264" s="80">
        <v>0.12558022699999999</v>
      </c>
      <c r="G264" s="80">
        <v>1.3495399417</v>
      </c>
      <c r="H264" s="80">
        <v>0.17966213310000001</v>
      </c>
      <c r="I264" s="80">
        <v>0.13509537639999999</v>
      </c>
      <c r="J264" s="80">
        <v>0.74435548210000002</v>
      </c>
      <c r="K264" s="80">
        <v>1.4920286616</v>
      </c>
      <c r="L264" s="80">
        <v>0.82468367629999995</v>
      </c>
      <c r="M264" s="80">
        <v>0.74347479809999995</v>
      </c>
      <c r="N264" s="80">
        <v>0.4236676372</v>
      </c>
      <c r="O264" s="80">
        <v>2.0184213930000001</v>
      </c>
      <c r="P264" s="80">
        <v>2.4166530282999998</v>
      </c>
      <c r="Q264" s="80">
        <v>0.9736966856</v>
      </c>
      <c r="R264" s="80">
        <v>0.50532690709999994</v>
      </c>
      <c r="S264" s="80">
        <v>0.2779541901</v>
      </c>
      <c r="T264" s="80">
        <v>1.9431712021000001</v>
      </c>
    </row>
    <row r="265" spans="1:20" x14ac:dyDescent="0.2">
      <c r="A265" s="11">
        <v>264</v>
      </c>
      <c r="B265" s="11">
        <v>3</v>
      </c>
      <c r="C265" s="12" t="s">
        <v>504</v>
      </c>
      <c r="D265" s="13" t="s">
        <v>505</v>
      </c>
      <c r="E265" s="80">
        <v>8.3582396462999995</v>
      </c>
      <c r="F265" s="80">
        <v>7.4354663460000001</v>
      </c>
      <c r="G265" s="80">
        <v>7.6406142406999997</v>
      </c>
      <c r="H265" s="80">
        <v>9.9327551180999993</v>
      </c>
      <c r="I265" s="80">
        <v>8.2346016486</v>
      </c>
      <c r="J265" s="80">
        <v>7.1646912095999999</v>
      </c>
      <c r="K265" s="80">
        <v>7.5314782123999997</v>
      </c>
      <c r="L265" s="80">
        <v>3.8141655788</v>
      </c>
      <c r="M265" s="80">
        <v>4.8171868094999999</v>
      </c>
      <c r="N265" s="80">
        <v>5.7624127771999998</v>
      </c>
      <c r="O265" s="80">
        <v>6.7921085988999996</v>
      </c>
      <c r="P265" s="80">
        <v>7.2965951724</v>
      </c>
      <c r="Q265" s="80">
        <v>7.7752755409000001</v>
      </c>
      <c r="R265" s="80">
        <v>10.491894755000001</v>
      </c>
      <c r="S265" s="80">
        <v>8.4886208238999998</v>
      </c>
      <c r="T265" s="80">
        <v>10.845004675</v>
      </c>
    </row>
    <row r="266" spans="1:20" x14ac:dyDescent="0.2">
      <c r="A266" s="11">
        <v>265</v>
      </c>
      <c r="B266" s="11">
        <v>3</v>
      </c>
      <c r="C266" s="12" t="s">
        <v>506</v>
      </c>
      <c r="D266" s="13" t="s">
        <v>507</v>
      </c>
      <c r="E266" s="80">
        <v>21.090279646999999</v>
      </c>
      <c r="F266" s="80">
        <v>19.135102030999999</v>
      </c>
      <c r="G266" s="80">
        <v>18.166052514</v>
      </c>
      <c r="H266" s="80">
        <v>19.365847923</v>
      </c>
      <c r="I266" s="80">
        <v>13.593703716</v>
      </c>
      <c r="J266" s="80">
        <v>20.515342644</v>
      </c>
      <c r="K266" s="80">
        <v>17.878944317999999</v>
      </c>
      <c r="L266" s="80">
        <v>24.647879700000001</v>
      </c>
      <c r="M266" s="80">
        <v>20.952928293999999</v>
      </c>
      <c r="N266" s="80">
        <v>18.995109730999999</v>
      </c>
      <c r="O266" s="80">
        <v>19.910327121000002</v>
      </c>
      <c r="P266" s="80">
        <v>17.536751616</v>
      </c>
      <c r="Q266" s="80">
        <v>24.742467788999999</v>
      </c>
      <c r="R266" s="80">
        <v>23.900481957</v>
      </c>
      <c r="S266" s="80">
        <v>18.662292639</v>
      </c>
      <c r="T266" s="80">
        <v>26.039955402</v>
      </c>
    </row>
    <row r="267" spans="1:20" x14ac:dyDescent="0.2">
      <c r="A267" s="8">
        <v>266</v>
      </c>
      <c r="B267" s="8">
        <v>2</v>
      </c>
      <c r="C267" s="9" t="s">
        <v>508</v>
      </c>
      <c r="D267" s="10" t="s">
        <v>509</v>
      </c>
      <c r="E267" s="79">
        <v>0.1090755563</v>
      </c>
      <c r="F267" s="79">
        <v>0.1100691926</v>
      </c>
      <c r="G267" s="79">
        <v>0.1123065184</v>
      </c>
      <c r="H267" s="79">
        <v>0.117095348</v>
      </c>
      <c r="I267" s="79">
        <v>0.125635359</v>
      </c>
      <c r="J267" s="79">
        <v>1.5509354303</v>
      </c>
      <c r="K267" s="79">
        <v>4.4286063880000004</v>
      </c>
      <c r="L267" s="79">
        <v>0.1188661337</v>
      </c>
      <c r="M267" s="79">
        <v>0.109797753</v>
      </c>
      <c r="N267" s="79">
        <v>0.40729731609999997</v>
      </c>
      <c r="O267" s="79">
        <v>1.814667649</v>
      </c>
      <c r="P267" s="79">
        <v>0.84573908019999999</v>
      </c>
      <c r="Q267" s="79">
        <v>1.3012675756000001</v>
      </c>
      <c r="R267" s="79">
        <v>1.1763769679</v>
      </c>
      <c r="S267" s="79">
        <v>7.6944718400000001E-2</v>
      </c>
      <c r="T267" s="79">
        <v>0.96361167209999998</v>
      </c>
    </row>
    <row r="268" spans="1:20" x14ac:dyDescent="0.2">
      <c r="A268" s="11">
        <v>267</v>
      </c>
      <c r="B268" s="11">
        <v>3</v>
      </c>
      <c r="C268" s="12" t="s">
        <v>510</v>
      </c>
      <c r="D268" s="13" t="s">
        <v>509</v>
      </c>
      <c r="E268" s="80">
        <v>0.1090755563</v>
      </c>
      <c r="F268" s="80">
        <v>0.1100691926</v>
      </c>
      <c r="G268" s="80">
        <v>0.1123065184</v>
      </c>
      <c r="H268" s="80">
        <v>0.117095348</v>
      </c>
      <c r="I268" s="80">
        <v>0.125635359</v>
      </c>
      <c r="J268" s="80">
        <v>1.5509354303</v>
      </c>
      <c r="K268" s="80">
        <v>4.4286063880000004</v>
      </c>
      <c r="L268" s="80">
        <v>0.1188661337</v>
      </c>
      <c r="M268" s="80">
        <v>0.109797753</v>
      </c>
      <c r="N268" s="80">
        <v>0.40729731609999997</v>
      </c>
      <c r="O268" s="80">
        <v>1.814667649</v>
      </c>
      <c r="P268" s="80">
        <v>0.84573908019999999</v>
      </c>
      <c r="Q268" s="80">
        <v>1.3012675756000001</v>
      </c>
      <c r="R268" s="80">
        <v>1.1763769679</v>
      </c>
      <c r="S268" s="80">
        <v>7.6944718400000001E-2</v>
      </c>
      <c r="T268" s="80">
        <v>0.96361167209999998</v>
      </c>
    </row>
    <row r="269" spans="1:20" x14ac:dyDescent="0.2">
      <c r="A269" s="8">
        <v>268</v>
      </c>
      <c r="B269" s="8">
        <v>2</v>
      </c>
      <c r="C269" s="9" t="s">
        <v>511</v>
      </c>
      <c r="D269" s="10" t="s">
        <v>512</v>
      </c>
      <c r="E269" s="79">
        <v>99.412856782999995</v>
      </c>
      <c r="F269" s="79">
        <v>104.56722632</v>
      </c>
      <c r="G269" s="79">
        <v>99.004293137000005</v>
      </c>
      <c r="H269" s="79">
        <v>90.283791805999996</v>
      </c>
      <c r="I269" s="79">
        <v>90.403720281000005</v>
      </c>
      <c r="J269" s="79">
        <v>89.032612377999996</v>
      </c>
      <c r="K269" s="79">
        <v>91.250743596000007</v>
      </c>
      <c r="L269" s="79">
        <v>93.279188198</v>
      </c>
      <c r="M269" s="79">
        <v>96.769292581000002</v>
      </c>
      <c r="N269" s="79">
        <v>92.512631724000002</v>
      </c>
      <c r="O269" s="79">
        <v>92.217408731000006</v>
      </c>
      <c r="P269" s="79">
        <v>86.789202783999997</v>
      </c>
      <c r="Q269" s="79">
        <v>98.346294231000002</v>
      </c>
      <c r="R269" s="79">
        <v>100.87814392999999</v>
      </c>
      <c r="S269" s="79">
        <v>90.886300094000006</v>
      </c>
      <c r="T269" s="79">
        <v>82.373323012</v>
      </c>
    </row>
    <row r="270" spans="1:20" x14ac:dyDescent="0.2">
      <c r="A270" s="11">
        <v>269</v>
      </c>
      <c r="B270" s="11">
        <v>3</v>
      </c>
      <c r="C270" s="12" t="s">
        <v>513</v>
      </c>
      <c r="D270" s="13" t="s">
        <v>512</v>
      </c>
      <c r="E270" s="80">
        <v>99.412856782999995</v>
      </c>
      <c r="F270" s="80">
        <v>104.56722632</v>
      </c>
      <c r="G270" s="80">
        <v>99.004293137000005</v>
      </c>
      <c r="H270" s="80">
        <v>90.283791805999996</v>
      </c>
      <c r="I270" s="80">
        <v>90.403720281000005</v>
      </c>
      <c r="J270" s="80">
        <v>89.032612377999996</v>
      </c>
      <c r="K270" s="80">
        <v>91.250743596000007</v>
      </c>
      <c r="L270" s="80">
        <v>93.279188198</v>
      </c>
      <c r="M270" s="80">
        <v>96.769292581000002</v>
      </c>
      <c r="N270" s="80">
        <v>92.512631724000002</v>
      </c>
      <c r="O270" s="80">
        <v>92.217408731000006</v>
      </c>
      <c r="P270" s="80">
        <v>86.789202783999997</v>
      </c>
      <c r="Q270" s="80">
        <v>98.346294231000002</v>
      </c>
      <c r="R270" s="80">
        <v>100.87814392999999</v>
      </c>
      <c r="S270" s="80">
        <v>90.886300094000006</v>
      </c>
      <c r="T270" s="80">
        <v>82.373323012</v>
      </c>
    </row>
    <row r="271" spans="1:20" x14ac:dyDescent="0.2">
      <c r="A271" s="8">
        <v>270</v>
      </c>
      <c r="B271" s="8">
        <v>2</v>
      </c>
      <c r="C271" s="9" t="s">
        <v>514</v>
      </c>
      <c r="D271" s="10" t="s">
        <v>515</v>
      </c>
      <c r="E271" s="79">
        <v>19.858763456999998</v>
      </c>
      <c r="F271" s="79">
        <v>21.947443493000002</v>
      </c>
      <c r="G271" s="79">
        <v>20.183351716000001</v>
      </c>
      <c r="H271" s="79">
        <v>16.219702375000001</v>
      </c>
      <c r="I271" s="79">
        <v>7.3869144745000002</v>
      </c>
      <c r="J271" s="79">
        <v>11.187573211</v>
      </c>
      <c r="K271" s="79">
        <v>7.8376124513000001</v>
      </c>
      <c r="L271" s="79">
        <v>8.9648538346999995</v>
      </c>
      <c r="M271" s="79">
        <v>9.5640477195999996</v>
      </c>
      <c r="N271" s="79">
        <v>5.6577514687999999</v>
      </c>
      <c r="O271" s="79">
        <v>9.1996928033999996</v>
      </c>
      <c r="P271" s="79">
        <v>10.412979218</v>
      </c>
      <c r="Q271" s="79">
        <v>5.9356405708000004</v>
      </c>
      <c r="R271" s="79">
        <v>7.0927881401999997</v>
      </c>
      <c r="S271" s="79">
        <v>12.002043716999999</v>
      </c>
      <c r="T271" s="79">
        <v>10.498977897</v>
      </c>
    </row>
    <row r="272" spans="1:20" s="16" customFormat="1" x14ac:dyDescent="0.2">
      <c r="A272" s="14">
        <v>271</v>
      </c>
      <c r="B272" s="14">
        <v>3</v>
      </c>
      <c r="C272" s="14" t="s">
        <v>516</v>
      </c>
      <c r="D272" s="15" t="s">
        <v>517</v>
      </c>
      <c r="E272" s="81">
        <v>0.1008395399</v>
      </c>
      <c r="F272" s="81">
        <v>9.9944024100000001E-2</v>
      </c>
      <c r="G272" s="81">
        <v>9.9119912399999996E-2</v>
      </c>
      <c r="H272" s="81">
        <v>9.8738399099999999E-2</v>
      </c>
      <c r="I272" s="81">
        <v>9.8710540299999996E-2</v>
      </c>
      <c r="J272" s="81">
        <v>9.8068082700000003E-2</v>
      </c>
      <c r="K272" s="81">
        <v>9.83917869E-2</v>
      </c>
      <c r="L272" s="81">
        <v>9.8140334999999995E-2</v>
      </c>
      <c r="M272" s="81">
        <v>0.34270244309999998</v>
      </c>
      <c r="N272" s="81">
        <v>9.6021764300000007E-2</v>
      </c>
      <c r="O272" s="81">
        <v>9.5290640800000007E-2</v>
      </c>
      <c r="P272" s="81">
        <v>9.3995616399999996E-2</v>
      </c>
      <c r="Q272" s="81">
        <v>0.40048928350000002</v>
      </c>
      <c r="R272" s="81">
        <v>9.76780379E-2</v>
      </c>
      <c r="S272" s="81">
        <v>0.10193356670000001</v>
      </c>
      <c r="T272" s="81">
        <v>0.1047799787</v>
      </c>
    </row>
    <row r="273" spans="1:20" x14ac:dyDescent="0.2">
      <c r="A273" s="11">
        <v>272</v>
      </c>
      <c r="B273" s="11">
        <v>3</v>
      </c>
      <c r="C273" s="12" t="s">
        <v>518</v>
      </c>
      <c r="D273" s="13" t="s">
        <v>519</v>
      </c>
      <c r="E273" s="80">
        <v>7.5640151302999996</v>
      </c>
      <c r="F273" s="80">
        <v>8.1062895381000004</v>
      </c>
      <c r="G273" s="80">
        <v>7.3313001173999996</v>
      </c>
      <c r="H273" s="80">
        <v>5.6163456066000004</v>
      </c>
      <c r="I273" s="80">
        <v>4.4421940128999999</v>
      </c>
      <c r="J273" s="80">
        <v>5.3871897768999997</v>
      </c>
      <c r="K273" s="80">
        <v>5.1403014614</v>
      </c>
      <c r="L273" s="80">
        <v>4.9770844984</v>
      </c>
      <c r="M273" s="80">
        <v>5.3914426248999998</v>
      </c>
      <c r="N273" s="80">
        <v>2.7028815701000002</v>
      </c>
      <c r="O273" s="80">
        <v>2.9961554787</v>
      </c>
      <c r="P273" s="80">
        <v>7.0385568025999996</v>
      </c>
      <c r="Q273" s="80">
        <v>2.4731243346</v>
      </c>
      <c r="R273" s="80">
        <v>3.3668724905</v>
      </c>
      <c r="S273" s="80">
        <v>7.1912571064000002</v>
      </c>
      <c r="T273" s="80">
        <v>6.8393322536000003</v>
      </c>
    </row>
    <row r="274" spans="1:20" x14ac:dyDescent="0.2">
      <c r="A274" s="11">
        <v>273</v>
      </c>
      <c r="B274" s="11">
        <v>3</v>
      </c>
      <c r="C274" s="12" t="s">
        <v>520</v>
      </c>
      <c r="D274" s="13" t="s">
        <v>521</v>
      </c>
      <c r="E274" s="80">
        <v>12.222017551</v>
      </c>
      <c r="F274" s="80">
        <v>13.714066827</v>
      </c>
      <c r="G274" s="80">
        <v>12.662746630999999</v>
      </c>
      <c r="H274" s="80">
        <v>10.466850312</v>
      </c>
      <c r="I274" s="80">
        <v>3.0256101754000002</v>
      </c>
      <c r="J274" s="80">
        <v>5.9155113888999997</v>
      </c>
      <c r="K274" s="80">
        <v>2.7995612034000001</v>
      </c>
      <c r="L274" s="80">
        <v>4.2121208327000002</v>
      </c>
      <c r="M274" s="80">
        <v>4.1620791179000003</v>
      </c>
      <c r="N274" s="80">
        <v>3.2445439804</v>
      </c>
      <c r="O274" s="80">
        <v>6.7361185182999996</v>
      </c>
      <c r="P274" s="80">
        <v>3.6306003053999998</v>
      </c>
      <c r="Q274" s="80">
        <v>3.0816726207</v>
      </c>
      <c r="R274" s="80">
        <v>3.5930962176999999</v>
      </c>
      <c r="S274" s="80">
        <v>3.8212617032999998</v>
      </c>
      <c r="T274" s="80">
        <v>2.3949640659</v>
      </c>
    </row>
    <row r="275" spans="1:20" x14ac:dyDescent="0.2">
      <c r="A275" s="8">
        <v>274</v>
      </c>
      <c r="B275" s="8">
        <v>2</v>
      </c>
      <c r="C275" s="9" t="s">
        <v>522</v>
      </c>
      <c r="D275" s="10" t="s">
        <v>523</v>
      </c>
      <c r="E275" s="79">
        <v>13.817902051000001</v>
      </c>
      <c r="F275" s="79">
        <v>15.462467208</v>
      </c>
      <c r="G275" s="79">
        <v>17.080150135</v>
      </c>
      <c r="H275" s="79">
        <v>15.294955793</v>
      </c>
      <c r="I275" s="79">
        <v>17.715673239000001</v>
      </c>
      <c r="J275" s="79">
        <v>15.687882719999999</v>
      </c>
      <c r="K275" s="79">
        <v>12.810344081</v>
      </c>
      <c r="L275" s="79">
        <v>18.903023116</v>
      </c>
      <c r="M275" s="79">
        <v>14.714749025</v>
      </c>
      <c r="N275" s="79">
        <v>12.987294895</v>
      </c>
      <c r="O275" s="79">
        <v>12.447701895</v>
      </c>
      <c r="P275" s="79">
        <v>14.083007122</v>
      </c>
      <c r="Q275" s="79">
        <v>15.078487450000001</v>
      </c>
      <c r="R275" s="79">
        <v>16.888563754</v>
      </c>
      <c r="S275" s="79">
        <v>11.467396929</v>
      </c>
      <c r="T275" s="79">
        <v>12.321500740999999</v>
      </c>
    </row>
    <row r="276" spans="1:20" s="16" customFormat="1" x14ac:dyDescent="0.2">
      <c r="A276" s="14">
        <v>275</v>
      </c>
      <c r="B276" s="14">
        <v>3</v>
      </c>
      <c r="C276" s="14" t="s">
        <v>524</v>
      </c>
      <c r="D276" s="15" t="s">
        <v>525</v>
      </c>
      <c r="E276" s="81">
        <v>0.10148063860000001</v>
      </c>
      <c r="F276" s="81">
        <v>0.1014849129</v>
      </c>
      <c r="G276" s="81">
        <v>0.1004812581</v>
      </c>
      <c r="H276" s="81">
        <v>9.9318369000000004E-2</v>
      </c>
      <c r="I276" s="81">
        <v>9.6289215299999995E-2</v>
      </c>
      <c r="J276" s="81">
        <v>9.3972855499999994E-2</v>
      </c>
      <c r="K276" s="81">
        <v>9.22455883E-2</v>
      </c>
      <c r="L276" s="81">
        <v>0.2237128571</v>
      </c>
      <c r="M276" s="81">
        <v>9.2761834799999998E-2</v>
      </c>
      <c r="N276" s="81">
        <v>9.3827622299999996E-2</v>
      </c>
      <c r="O276" s="81">
        <v>9.3823578599999999E-2</v>
      </c>
      <c r="P276" s="81">
        <v>9.4424239899999998E-2</v>
      </c>
      <c r="Q276" s="81">
        <v>9.5032521300000006E-2</v>
      </c>
      <c r="R276" s="81">
        <v>9.7154685599999999E-2</v>
      </c>
      <c r="S276" s="81">
        <v>0.10007853009999999</v>
      </c>
      <c r="T276" s="81">
        <v>0.10194618649999999</v>
      </c>
    </row>
    <row r="277" spans="1:20" x14ac:dyDescent="0.2">
      <c r="A277" s="11">
        <v>276</v>
      </c>
      <c r="B277" s="11">
        <v>3</v>
      </c>
      <c r="C277" s="12" t="s">
        <v>526</v>
      </c>
      <c r="D277" s="13" t="s">
        <v>527</v>
      </c>
      <c r="E277" s="80">
        <v>13.820862382</v>
      </c>
      <c r="F277" s="80">
        <v>15.460980105000001</v>
      </c>
      <c r="G277" s="80">
        <v>16.708733945999999</v>
      </c>
      <c r="H277" s="80">
        <v>14.990871163</v>
      </c>
      <c r="I277" s="80">
        <v>17.050002765999999</v>
      </c>
      <c r="J277" s="80">
        <v>15.606836603</v>
      </c>
      <c r="K277" s="80">
        <v>12.768196438</v>
      </c>
      <c r="L277" s="80">
        <v>18.687959691</v>
      </c>
      <c r="M277" s="80">
        <v>14.176574781999999</v>
      </c>
      <c r="N277" s="80">
        <v>12.040214690999999</v>
      </c>
      <c r="O277" s="80">
        <v>12.636807212000001</v>
      </c>
      <c r="P277" s="80">
        <v>13.78723147</v>
      </c>
      <c r="Q277" s="80">
        <v>15.297977565</v>
      </c>
      <c r="R277" s="80">
        <v>17.110720954000001</v>
      </c>
      <c r="S277" s="80">
        <v>11.630464033999999</v>
      </c>
      <c r="T277" s="80">
        <v>12.486914442</v>
      </c>
    </row>
    <row r="278" spans="1:20" x14ac:dyDescent="0.2">
      <c r="A278" s="11">
        <v>277</v>
      </c>
      <c r="B278" s="11">
        <v>3</v>
      </c>
      <c r="C278" s="12" t="s">
        <v>528</v>
      </c>
      <c r="D278" s="13" t="s">
        <v>529</v>
      </c>
      <c r="E278" s="80">
        <v>9.2838161500000002E-2</v>
      </c>
      <c r="F278" s="80">
        <v>9.3353427700000005E-2</v>
      </c>
      <c r="G278" s="80">
        <v>0.31650583069999999</v>
      </c>
      <c r="H278" s="80">
        <v>0.244887836</v>
      </c>
      <c r="I278" s="80">
        <v>0.56280719329999995</v>
      </c>
      <c r="J278" s="80">
        <v>9.1650969400000004E-2</v>
      </c>
      <c r="K278" s="80">
        <v>8.5710497699999999E-2</v>
      </c>
      <c r="L278" s="80">
        <v>8.2061175900000005E-2</v>
      </c>
      <c r="M278" s="80">
        <v>0.52528400340000003</v>
      </c>
      <c r="N278" s="80">
        <v>0.92593443689999999</v>
      </c>
      <c r="O278" s="80">
        <v>9.0969068299999997E-2</v>
      </c>
      <c r="P278" s="80">
        <v>0.4608411878</v>
      </c>
      <c r="Q278" s="80">
        <v>9.9452291400000004E-2</v>
      </c>
      <c r="R278" s="80">
        <v>0.1002399991</v>
      </c>
      <c r="S278" s="80">
        <v>9.9548635499999996E-2</v>
      </c>
      <c r="T278" s="80">
        <v>9.8935136600000001E-2</v>
      </c>
    </row>
    <row r="279" spans="1:20" x14ac:dyDescent="0.2">
      <c r="A279" s="8">
        <v>278</v>
      </c>
      <c r="B279" s="8">
        <v>2</v>
      </c>
      <c r="C279" s="9" t="s">
        <v>530</v>
      </c>
      <c r="D279" s="10" t="s">
        <v>531</v>
      </c>
      <c r="E279" s="79">
        <v>9.9497724600000004E-2</v>
      </c>
      <c r="F279" s="79">
        <v>9.8626432099999994E-2</v>
      </c>
      <c r="G279" s="79">
        <v>9.7139365800000002E-2</v>
      </c>
      <c r="H279" s="79">
        <v>9.4104862799999994E-2</v>
      </c>
      <c r="I279" s="79">
        <v>8.9867562999999998E-2</v>
      </c>
      <c r="J279" s="79">
        <v>8.6456814899999998E-2</v>
      </c>
      <c r="K279" s="79">
        <v>0.68039968500000003</v>
      </c>
      <c r="L279" s="79">
        <v>8.1784049499999997E-2</v>
      </c>
      <c r="M279" s="79">
        <v>8.2015207100000001E-2</v>
      </c>
      <c r="N279" s="79">
        <v>0.4066636549</v>
      </c>
      <c r="O279" s="79">
        <v>8.7743285099999999E-2</v>
      </c>
      <c r="P279" s="79">
        <v>9.1421353299999994E-2</v>
      </c>
      <c r="Q279" s="79">
        <v>0.49314103999999997</v>
      </c>
      <c r="R279" s="79">
        <v>9.6273839200000003E-2</v>
      </c>
      <c r="S279" s="79">
        <v>9.7062657600000005E-2</v>
      </c>
      <c r="T279" s="79">
        <v>9.7649546099999998E-2</v>
      </c>
    </row>
    <row r="280" spans="1:20" x14ac:dyDescent="0.2">
      <c r="A280" s="11">
        <v>279</v>
      </c>
      <c r="B280" s="11">
        <v>3</v>
      </c>
      <c r="C280" s="12" t="s">
        <v>532</v>
      </c>
      <c r="D280" s="13" t="s">
        <v>531</v>
      </c>
      <c r="E280" s="80">
        <v>9.9497724600000004E-2</v>
      </c>
      <c r="F280" s="80">
        <v>9.8626432099999994E-2</v>
      </c>
      <c r="G280" s="80">
        <v>9.7139365800000002E-2</v>
      </c>
      <c r="H280" s="80">
        <v>9.4104862799999994E-2</v>
      </c>
      <c r="I280" s="80">
        <v>8.9867562999999998E-2</v>
      </c>
      <c r="J280" s="80">
        <v>8.6456814899999998E-2</v>
      </c>
      <c r="K280" s="80">
        <v>0.68039968500000003</v>
      </c>
      <c r="L280" s="80">
        <v>8.1784049499999997E-2</v>
      </c>
      <c r="M280" s="80">
        <v>8.2015207100000001E-2</v>
      </c>
      <c r="N280" s="80">
        <v>0.4066636549</v>
      </c>
      <c r="O280" s="80">
        <v>8.7743285099999999E-2</v>
      </c>
      <c r="P280" s="80">
        <v>9.1421353299999994E-2</v>
      </c>
      <c r="Q280" s="80">
        <v>0.49314103999999997</v>
      </c>
      <c r="R280" s="80">
        <v>9.6273839200000003E-2</v>
      </c>
      <c r="S280" s="80">
        <v>9.7062657600000005E-2</v>
      </c>
      <c r="T280" s="80">
        <v>9.7649546099999998E-2</v>
      </c>
    </row>
    <row r="281" spans="1:20" ht="15" x14ac:dyDescent="0.25">
      <c r="A281" s="4">
        <v>280</v>
      </c>
      <c r="B281" s="4">
        <v>1</v>
      </c>
      <c r="C281" s="5" t="s">
        <v>533</v>
      </c>
      <c r="D281" s="6" t="s">
        <v>534</v>
      </c>
      <c r="E281" s="78">
        <v>365.27251610000002</v>
      </c>
      <c r="F281" s="78">
        <v>383.4397338</v>
      </c>
      <c r="G281" s="78">
        <v>406.42554139999999</v>
      </c>
      <c r="H281" s="78">
        <v>404.70224760000002</v>
      </c>
      <c r="I281" s="78">
        <v>391.48742850000002</v>
      </c>
      <c r="J281" s="78">
        <v>383.89824720000001</v>
      </c>
      <c r="K281" s="78">
        <v>421.34401220000001</v>
      </c>
      <c r="L281" s="78">
        <v>426.47523489999998</v>
      </c>
      <c r="M281" s="78">
        <v>419.77396570000002</v>
      </c>
      <c r="N281" s="78">
        <v>404.4460957</v>
      </c>
      <c r="O281" s="78">
        <v>392.37666789999997</v>
      </c>
      <c r="P281" s="78">
        <v>433.18484860000001</v>
      </c>
      <c r="Q281" s="78">
        <v>438.42893809999998</v>
      </c>
      <c r="R281" s="78">
        <v>444.89747670000003</v>
      </c>
      <c r="S281" s="78">
        <v>435.76394269999997</v>
      </c>
      <c r="T281" s="78">
        <v>486.31880280000001</v>
      </c>
    </row>
    <row r="282" spans="1:20" x14ac:dyDescent="0.2">
      <c r="A282" s="8">
        <v>281</v>
      </c>
      <c r="B282" s="8">
        <v>2</v>
      </c>
      <c r="C282" s="9" t="s">
        <v>535</v>
      </c>
      <c r="D282" s="10" t="s">
        <v>536</v>
      </c>
      <c r="E282" s="79">
        <v>204.51289383</v>
      </c>
      <c r="F282" s="79">
        <v>202.05797783</v>
      </c>
      <c r="G282" s="79">
        <v>210.01420954</v>
      </c>
      <c r="H282" s="79">
        <v>214.11342836</v>
      </c>
      <c r="I282" s="79">
        <v>207.82997556999999</v>
      </c>
      <c r="J282" s="79">
        <v>190.99660803</v>
      </c>
      <c r="K282" s="79">
        <v>210.95981259000001</v>
      </c>
      <c r="L282" s="79">
        <v>216.31601275</v>
      </c>
      <c r="M282" s="79">
        <v>219.40028520000001</v>
      </c>
      <c r="N282" s="79">
        <v>190.23583708000001</v>
      </c>
      <c r="O282" s="79">
        <v>200.98080762999999</v>
      </c>
      <c r="P282" s="79">
        <v>210.85501242000001</v>
      </c>
      <c r="Q282" s="79">
        <v>219.2776442</v>
      </c>
      <c r="R282" s="79">
        <v>215.72026751000001</v>
      </c>
      <c r="S282" s="79">
        <v>188.46303669</v>
      </c>
      <c r="T282" s="79">
        <v>197.87419756</v>
      </c>
    </row>
    <row r="283" spans="1:20" x14ac:dyDescent="0.2">
      <c r="A283" s="11">
        <v>282</v>
      </c>
      <c r="B283" s="11">
        <v>3</v>
      </c>
      <c r="C283" s="12" t="s">
        <v>537</v>
      </c>
      <c r="D283" s="13" t="s">
        <v>538</v>
      </c>
      <c r="E283" s="80">
        <v>26.228400739000001</v>
      </c>
      <c r="F283" s="80">
        <v>16.801632478999998</v>
      </c>
      <c r="G283" s="80">
        <v>25.680672045000001</v>
      </c>
      <c r="H283" s="80">
        <v>29.378379756000001</v>
      </c>
      <c r="I283" s="80">
        <v>24.832109115000002</v>
      </c>
      <c r="J283" s="80">
        <v>16.070199191</v>
      </c>
      <c r="K283" s="80">
        <v>20.107314361</v>
      </c>
      <c r="L283" s="80">
        <v>26.939279919000001</v>
      </c>
      <c r="M283" s="80">
        <v>36.823012521999999</v>
      </c>
      <c r="N283" s="80">
        <v>30.557616847999999</v>
      </c>
      <c r="O283" s="80">
        <v>32.714558695000001</v>
      </c>
      <c r="P283" s="80">
        <v>24.680859163000001</v>
      </c>
      <c r="Q283" s="80">
        <v>24.096258251999998</v>
      </c>
      <c r="R283" s="80">
        <v>12.793217908000001</v>
      </c>
      <c r="S283" s="80">
        <v>11.364462294000001</v>
      </c>
      <c r="T283" s="80">
        <v>7.4236108988999998</v>
      </c>
    </row>
    <row r="284" spans="1:20" x14ac:dyDescent="0.2">
      <c r="A284" s="11">
        <v>283</v>
      </c>
      <c r="B284" s="11">
        <v>3</v>
      </c>
      <c r="C284" s="12" t="s">
        <v>539</v>
      </c>
      <c r="D284" s="13" t="s">
        <v>540</v>
      </c>
      <c r="E284" s="80">
        <v>1.4369512368999999</v>
      </c>
      <c r="F284" s="80">
        <v>0.78088162679999995</v>
      </c>
      <c r="G284" s="80">
        <v>1.9621182567</v>
      </c>
      <c r="H284" s="80">
        <v>0.79375101520000002</v>
      </c>
      <c r="I284" s="80">
        <v>1.1195326195999999</v>
      </c>
      <c r="J284" s="80">
        <v>2.0085753183000001</v>
      </c>
      <c r="K284" s="80">
        <v>1.3791666133</v>
      </c>
      <c r="L284" s="80">
        <v>0.51244502719999996</v>
      </c>
      <c r="M284" s="80">
        <v>2.6526892375000002</v>
      </c>
      <c r="N284" s="80">
        <v>0.58087902400000002</v>
      </c>
      <c r="O284" s="80">
        <v>1.7551150686000001</v>
      </c>
      <c r="P284" s="80">
        <v>2.1006987304</v>
      </c>
      <c r="Q284" s="80">
        <v>3.6560602493999999</v>
      </c>
      <c r="R284" s="80">
        <v>1.5683392019</v>
      </c>
      <c r="S284" s="80">
        <v>1.3443850720999999</v>
      </c>
      <c r="T284" s="80">
        <v>1.1870167752</v>
      </c>
    </row>
    <row r="285" spans="1:20" x14ac:dyDescent="0.2">
      <c r="A285" s="11">
        <v>284</v>
      </c>
      <c r="B285" s="11">
        <v>3</v>
      </c>
      <c r="C285" s="12" t="s">
        <v>541</v>
      </c>
      <c r="D285" s="13" t="s">
        <v>542</v>
      </c>
      <c r="E285" s="80">
        <v>166.05731405</v>
      </c>
      <c r="F285" s="80">
        <v>164.28100445000001</v>
      </c>
      <c r="G285" s="80">
        <v>168.90700783</v>
      </c>
      <c r="H285" s="80">
        <v>166.18089864999999</v>
      </c>
      <c r="I285" s="80">
        <v>170.14096798</v>
      </c>
      <c r="J285" s="80">
        <v>160.77541876000001</v>
      </c>
      <c r="K285" s="80">
        <v>180.78961261000001</v>
      </c>
      <c r="L285" s="80">
        <v>182.71381295</v>
      </c>
      <c r="M285" s="80">
        <v>176.23723186000001</v>
      </c>
      <c r="N285" s="80">
        <v>151.71931888</v>
      </c>
      <c r="O285" s="80">
        <v>157.18270762</v>
      </c>
      <c r="P285" s="80">
        <v>176.16899144000001</v>
      </c>
      <c r="Q285" s="80">
        <v>178.05610616999999</v>
      </c>
      <c r="R285" s="80">
        <v>187.95706736</v>
      </c>
      <c r="S285" s="80">
        <v>163.6833345</v>
      </c>
      <c r="T285" s="80">
        <v>179.38033565999999</v>
      </c>
    </row>
    <row r="286" spans="1:20" x14ac:dyDescent="0.2">
      <c r="A286" s="11">
        <v>285</v>
      </c>
      <c r="B286" s="11">
        <v>3</v>
      </c>
      <c r="C286" s="12" t="s">
        <v>543</v>
      </c>
      <c r="D286" s="13" t="s">
        <v>544</v>
      </c>
      <c r="E286" s="80">
        <v>3.3171641801999998</v>
      </c>
      <c r="F286" s="80">
        <v>5.9133387622000004</v>
      </c>
      <c r="G286" s="80">
        <v>2.7921744623999998</v>
      </c>
      <c r="H286" s="80">
        <v>3.0157902914000001</v>
      </c>
      <c r="I286" s="80">
        <v>1.6546783949999999</v>
      </c>
      <c r="J286" s="80">
        <v>2.1561183235999999</v>
      </c>
      <c r="K286" s="80">
        <v>3.0050316856000001</v>
      </c>
      <c r="L286" s="80">
        <v>4.2814830544999998</v>
      </c>
      <c r="M286" s="80">
        <v>1.9375337471</v>
      </c>
      <c r="N286" s="80">
        <v>1.2990919925</v>
      </c>
      <c r="O286" s="80">
        <v>3.3496916741999998</v>
      </c>
      <c r="P286" s="80">
        <v>3.6521337656999999</v>
      </c>
      <c r="Q286" s="80">
        <v>2.4669762093999998</v>
      </c>
      <c r="R286" s="80">
        <v>4.1757602181999998</v>
      </c>
      <c r="S286" s="80">
        <v>4.0463765950999999</v>
      </c>
      <c r="T286" s="80">
        <v>2.3956987881999998</v>
      </c>
    </row>
    <row r="287" spans="1:20" x14ac:dyDescent="0.2">
      <c r="A287" s="11">
        <v>286</v>
      </c>
      <c r="B287" s="11">
        <v>3</v>
      </c>
      <c r="C287" s="12" t="s">
        <v>545</v>
      </c>
      <c r="D287" s="13" t="s">
        <v>546</v>
      </c>
      <c r="E287" s="80">
        <v>9.0262109008000007</v>
      </c>
      <c r="F287" s="80">
        <v>13.995640511</v>
      </c>
      <c r="G287" s="80">
        <v>10.428283509</v>
      </c>
      <c r="H287" s="80">
        <v>13.602138467</v>
      </c>
      <c r="I287" s="80">
        <v>8.5067002398000007</v>
      </c>
      <c r="J287" s="80">
        <v>9.6281435455000004</v>
      </c>
      <c r="K287" s="80">
        <v>7.6474572195999997</v>
      </c>
      <c r="L287" s="80">
        <v>4.8257011188999996</v>
      </c>
      <c r="M287" s="80">
        <v>5.2641079458000002</v>
      </c>
      <c r="N287" s="80">
        <v>7.6152827082999996</v>
      </c>
      <c r="O287" s="80">
        <v>6.7567151383999997</v>
      </c>
      <c r="P287" s="80">
        <v>3.8453445485</v>
      </c>
      <c r="Q287" s="80">
        <v>11.322186281</v>
      </c>
      <c r="R287" s="80">
        <v>8.3895850568999997</v>
      </c>
      <c r="S287" s="80">
        <v>7.7411679533999997</v>
      </c>
      <c r="T287" s="80">
        <v>6.7911340002999996</v>
      </c>
    </row>
    <row r="288" spans="1:20" x14ac:dyDescent="0.2">
      <c r="A288" s="8">
        <v>287</v>
      </c>
      <c r="B288" s="8">
        <v>2</v>
      </c>
      <c r="C288" s="9" t="s">
        <v>547</v>
      </c>
      <c r="D288" s="10" t="s">
        <v>548</v>
      </c>
      <c r="E288" s="79">
        <v>71.311676869999999</v>
      </c>
      <c r="F288" s="79">
        <v>72.866463603</v>
      </c>
      <c r="G288" s="79">
        <v>88.113955255999997</v>
      </c>
      <c r="H288" s="79">
        <v>80.005818591999997</v>
      </c>
      <c r="I288" s="79">
        <v>82.325660631999995</v>
      </c>
      <c r="J288" s="79">
        <v>86.659868540000005</v>
      </c>
      <c r="K288" s="79">
        <v>84.651755761000004</v>
      </c>
      <c r="L288" s="79">
        <v>84.133779360999995</v>
      </c>
      <c r="M288" s="79">
        <v>94.073817022</v>
      </c>
      <c r="N288" s="79">
        <v>96.945629006000004</v>
      </c>
      <c r="O288" s="79">
        <v>85.627152237000004</v>
      </c>
      <c r="P288" s="79">
        <v>92.207969462999998</v>
      </c>
      <c r="Q288" s="79">
        <v>87.350772550000002</v>
      </c>
      <c r="R288" s="79">
        <v>102.86271589</v>
      </c>
      <c r="S288" s="79">
        <v>91.401251246000001</v>
      </c>
      <c r="T288" s="79">
        <v>121.61888925</v>
      </c>
    </row>
    <row r="289" spans="1:20" x14ac:dyDescent="0.2">
      <c r="A289" s="11">
        <v>288</v>
      </c>
      <c r="B289" s="11">
        <v>3</v>
      </c>
      <c r="C289" s="12" t="s">
        <v>549</v>
      </c>
      <c r="D289" s="13" t="s">
        <v>550</v>
      </c>
      <c r="E289" s="80">
        <v>2.2845539881999999</v>
      </c>
      <c r="F289" s="80">
        <v>1.6834959373</v>
      </c>
      <c r="G289" s="80">
        <v>2.9064541896999998</v>
      </c>
      <c r="H289" s="80">
        <v>1.8611823513000001</v>
      </c>
      <c r="I289" s="80">
        <v>1.2419714754</v>
      </c>
      <c r="J289" s="80">
        <v>1.7499863850999999</v>
      </c>
      <c r="K289" s="80">
        <v>3.3466684684999999</v>
      </c>
      <c r="L289" s="80">
        <v>3.7769992495000002</v>
      </c>
      <c r="M289" s="80">
        <v>6.6320993465000004</v>
      </c>
      <c r="N289" s="80">
        <v>2.1289677817000001</v>
      </c>
      <c r="O289" s="80">
        <v>4.7092327235000004</v>
      </c>
      <c r="P289" s="80">
        <v>4.3860409025999996</v>
      </c>
      <c r="Q289" s="80">
        <v>1.4508857453999999</v>
      </c>
      <c r="R289" s="80">
        <v>3.8632890624999998</v>
      </c>
      <c r="S289" s="80">
        <v>1.1890794632999999</v>
      </c>
      <c r="T289" s="80">
        <v>3.5540556380999999</v>
      </c>
    </row>
    <row r="290" spans="1:20" x14ac:dyDescent="0.2">
      <c r="A290" s="11">
        <v>289</v>
      </c>
      <c r="B290" s="11">
        <v>3</v>
      </c>
      <c r="C290" s="12" t="s">
        <v>551</v>
      </c>
      <c r="D290" s="13" t="s">
        <v>552</v>
      </c>
      <c r="E290" s="80">
        <v>4.5510175978999996</v>
      </c>
      <c r="F290" s="80">
        <v>3.3856371152000002</v>
      </c>
      <c r="G290" s="80">
        <v>5.3407088376000003</v>
      </c>
      <c r="H290" s="80">
        <v>3.0437930743999999</v>
      </c>
      <c r="I290" s="80">
        <v>1.9322257819999999</v>
      </c>
      <c r="J290" s="80">
        <v>2.7698141065000002</v>
      </c>
      <c r="K290" s="80">
        <v>2.7823270964</v>
      </c>
      <c r="L290" s="80">
        <v>3.3064913757999999</v>
      </c>
      <c r="M290" s="80">
        <v>0.85702191490000001</v>
      </c>
      <c r="N290" s="80">
        <v>4.6443450646000004</v>
      </c>
      <c r="O290" s="80">
        <v>3.0321421475000001</v>
      </c>
      <c r="P290" s="80">
        <v>4.0277947876000004</v>
      </c>
      <c r="Q290" s="80">
        <v>2.2259767084000002</v>
      </c>
      <c r="R290" s="80">
        <v>6.1161328399999997</v>
      </c>
      <c r="S290" s="80">
        <v>2.3172149319000002</v>
      </c>
      <c r="T290" s="80">
        <v>6.8145731642999996</v>
      </c>
    </row>
    <row r="291" spans="1:20" x14ac:dyDescent="0.2">
      <c r="A291" s="11">
        <v>290</v>
      </c>
      <c r="B291" s="11">
        <v>3</v>
      </c>
      <c r="C291" s="12" t="s">
        <v>553</v>
      </c>
      <c r="D291" s="13" t="s">
        <v>554</v>
      </c>
      <c r="E291" s="80">
        <v>55.123606932000001</v>
      </c>
      <c r="F291" s="80">
        <v>60.792369493000002</v>
      </c>
      <c r="G291" s="80">
        <v>72.077568851999999</v>
      </c>
      <c r="H291" s="80">
        <v>65.658637218999999</v>
      </c>
      <c r="I291" s="80">
        <v>68.891417020999995</v>
      </c>
      <c r="J291" s="80">
        <v>70.770342345000003</v>
      </c>
      <c r="K291" s="80">
        <v>65.450095614999995</v>
      </c>
      <c r="L291" s="80">
        <v>64.687834049000003</v>
      </c>
      <c r="M291" s="80">
        <v>70.786412404000004</v>
      </c>
      <c r="N291" s="80">
        <v>74.141233205999995</v>
      </c>
      <c r="O291" s="80">
        <v>67.176162060999999</v>
      </c>
      <c r="P291" s="80">
        <v>70.277812400000002</v>
      </c>
      <c r="Q291" s="80">
        <v>67.413311755999999</v>
      </c>
      <c r="R291" s="80">
        <v>78.414965953000006</v>
      </c>
      <c r="S291" s="80">
        <v>76.597393113999999</v>
      </c>
      <c r="T291" s="80">
        <v>91.753274935999997</v>
      </c>
    </row>
    <row r="292" spans="1:20" x14ac:dyDescent="0.2">
      <c r="A292" s="11">
        <v>291</v>
      </c>
      <c r="B292" s="11">
        <v>3</v>
      </c>
      <c r="C292" s="12" t="s">
        <v>555</v>
      </c>
      <c r="D292" s="13" t="s">
        <v>556</v>
      </c>
      <c r="E292" s="80">
        <v>8.5921236685999993</v>
      </c>
      <c r="F292" s="80">
        <v>6.3880765695999999</v>
      </c>
      <c r="G292" s="80">
        <v>7.3597666977999996</v>
      </c>
      <c r="H292" s="80">
        <v>9.2751045356000006</v>
      </c>
      <c r="I292" s="80">
        <v>10.033987077000001</v>
      </c>
      <c r="J292" s="80">
        <v>11.373704311999999</v>
      </c>
      <c r="K292" s="80">
        <v>13.056412082</v>
      </c>
      <c r="L292" s="80">
        <v>12.361993177</v>
      </c>
      <c r="M292" s="80">
        <v>15.314265906999999</v>
      </c>
      <c r="N292" s="80">
        <v>16.191327765</v>
      </c>
      <c r="O292" s="80">
        <v>10.990574585999999</v>
      </c>
      <c r="P292" s="80">
        <v>13.901490211</v>
      </c>
      <c r="Q292" s="80">
        <v>16.127974623</v>
      </c>
      <c r="R292" s="80">
        <v>15.480182566</v>
      </c>
      <c r="S292" s="80">
        <v>11.642401714</v>
      </c>
      <c r="T292" s="80">
        <v>20.813396914999998</v>
      </c>
    </row>
    <row r="293" spans="1:20" x14ac:dyDescent="0.2">
      <c r="A293" s="8">
        <v>292</v>
      </c>
      <c r="B293" s="8">
        <v>2</v>
      </c>
      <c r="C293" s="9" t="s">
        <v>557</v>
      </c>
      <c r="D293" s="10" t="s">
        <v>558</v>
      </c>
      <c r="E293" s="79">
        <v>86.132760296000001</v>
      </c>
      <c r="F293" s="79">
        <v>107.6426007</v>
      </c>
      <c r="G293" s="79">
        <v>106.06693533000001</v>
      </c>
      <c r="H293" s="79">
        <v>106.34272168</v>
      </c>
      <c r="I293" s="79">
        <v>99.170026892999999</v>
      </c>
      <c r="J293" s="79">
        <v>106.34588662</v>
      </c>
      <c r="K293" s="79">
        <v>124.08532723</v>
      </c>
      <c r="L293" s="79">
        <v>125.98856754000001</v>
      </c>
      <c r="M293" s="79">
        <v>101.75800796</v>
      </c>
      <c r="N293" s="79">
        <v>119.49615498999999</v>
      </c>
      <c r="O293" s="79">
        <v>108.33976607</v>
      </c>
      <c r="P293" s="79">
        <v>133.77783266</v>
      </c>
      <c r="Q293" s="79">
        <v>134.41527748999999</v>
      </c>
      <c r="R293" s="79">
        <v>129.09380766000001</v>
      </c>
      <c r="S293" s="79">
        <v>156.64257581999999</v>
      </c>
      <c r="T293" s="79">
        <v>167.66786980000001</v>
      </c>
    </row>
    <row r="294" spans="1:20" x14ac:dyDescent="0.2">
      <c r="A294" s="11">
        <v>293</v>
      </c>
      <c r="B294" s="11">
        <v>3</v>
      </c>
      <c r="C294" s="12" t="s">
        <v>559</v>
      </c>
      <c r="D294" s="13" t="s">
        <v>560</v>
      </c>
      <c r="E294" s="80">
        <v>0.1001070161</v>
      </c>
      <c r="F294" s="80">
        <v>5.2542251200000001E-2</v>
      </c>
      <c r="G294" s="80">
        <v>0.10282163330000001</v>
      </c>
      <c r="H294" s="80">
        <v>0.71168523510000004</v>
      </c>
      <c r="I294" s="80">
        <v>9.37002381E-2</v>
      </c>
      <c r="J294" s="80">
        <v>0.44000733380000001</v>
      </c>
      <c r="K294" s="80">
        <v>0.38233386809999997</v>
      </c>
      <c r="L294" s="80">
        <v>8.8838014600000001E-2</v>
      </c>
      <c r="M294" s="80">
        <v>8.5395522900000007E-2</v>
      </c>
      <c r="N294" s="80">
        <v>8.4703881699999997E-2</v>
      </c>
      <c r="O294" s="80">
        <v>8.4490538399999995E-2</v>
      </c>
      <c r="P294" s="80">
        <v>0.35590869330000002</v>
      </c>
      <c r="Q294" s="80">
        <v>1.5030079490999999</v>
      </c>
      <c r="R294" s="80">
        <v>0.37047348159999999</v>
      </c>
      <c r="S294" s="80">
        <v>7.4702950700000006E-2</v>
      </c>
      <c r="T294" s="80">
        <v>0.380423495</v>
      </c>
    </row>
    <row r="295" spans="1:20" x14ac:dyDescent="0.2">
      <c r="A295" s="11">
        <v>294</v>
      </c>
      <c r="B295" s="11">
        <v>3</v>
      </c>
      <c r="C295" s="12" t="s">
        <v>561</v>
      </c>
      <c r="D295" s="13" t="s">
        <v>562</v>
      </c>
      <c r="E295" s="80">
        <v>63.443151870000001</v>
      </c>
      <c r="F295" s="80">
        <v>92.076501902999993</v>
      </c>
      <c r="G295" s="80">
        <v>91.309721973999999</v>
      </c>
      <c r="H295" s="80">
        <v>90.547722854</v>
      </c>
      <c r="I295" s="80">
        <v>81.772362465</v>
      </c>
      <c r="J295" s="80">
        <v>90.695663015999997</v>
      </c>
      <c r="K295" s="80">
        <v>99.733515229000005</v>
      </c>
      <c r="L295" s="80">
        <v>105.45348026000001</v>
      </c>
      <c r="M295" s="80">
        <v>81.380817726999993</v>
      </c>
      <c r="N295" s="80">
        <v>101.00646779</v>
      </c>
      <c r="O295" s="80">
        <v>91.456148497000001</v>
      </c>
      <c r="P295" s="80">
        <v>116.17017430999999</v>
      </c>
      <c r="Q295" s="80">
        <v>108.56082809</v>
      </c>
      <c r="R295" s="80">
        <v>116.64009666</v>
      </c>
      <c r="S295" s="80">
        <v>136.20208909999999</v>
      </c>
      <c r="T295" s="80">
        <v>144.3885702</v>
      </c>
    </row>
    <row r="296" spans="1:20" x14ac:dyDescent="0.2">
      <c r="A296" s="11">
        <v>295</v>
      </c>
      <c r="B296" s="11">
        <v>3</v>
      </c>
      <c r="C296" s="12" t="s">
        <v>563</v>
      </c>
      <c r="D296" s="13" t="s">
        <v>564</v>
      </c>
      <c r="E296" s="80">
        <v>22.617947998000002</v>
      </c>
      <c r="F296" s="80">
        <v>14.931913671</v>
      </c>
      <c r="G296" s="80">
        <v>13.810045718</v>
      </c>
      <c r="H296" s="80">
        <v>14.660906053</v>
      </c>
      <c r="I296" s="80">
        <v>17.681415191999999</v>
      </c>
      <c r="J296" s="80">
        <v>15.548209701999999</v>
      </c>
      <c r="K296" s="80">
        <v>24.647476037000001</v>
      </c>
      <c r="L296" s="80">
        <v>21.052321136</v>
      </c>
      <c r="M296" s="80">
        <v>20.688488369000002</v>
      </c>
      <c r="N296" s="80">
        <v>18.806051236999998</v>
      </c>
      <c r="O296" s="80">
        <v>17.022339135999999</v>
      </c>
      <c r="P296" s="80">
        <v>17.118574312</v>
      </c>
      <c r="Q296" s="80">
        <v>23.336534349000001</v>
      </c>
      <c r="R296" s="80">
        <v>11.775718338000001</v>
      </c>
      <c r="S296" s="80">
        <v>19.534968739</v>
      </c>
      <c r="T296" s="80">
        <v>21.344834198000001</v>
      </c>
    </row>
    <row r="297" spans="1:20" x14ac:dyDescent="0.2">
      <c r="A297" s="8">
        <v>296</v>
      </c>
      <c r="B297" s="8">
        <v>2</v>
      </c>
      <c r="C297" s="9" t="s">
        <v>565</v>
      </c>
      <c r="D297" s="10" t="s">
        <v>566</v>
      </c>
      <c r="E297" s="79">
        <v>4.3422485811999998</v>
      </c>
      <c r="F297" s="79">
        <v>2.1393722515000002</v>
      </c>
      <c r="G297" s="79">
        <v>4.1644958388999997</v>
      </c>
      <c r="H297" s="79">
        <v>6.7124019987999999</v>
      </c>
      <c r="I297" s="79">
        <v>4.6237223767</v>
      </c>
      <c r="J297" s="79">
        <v>1.969925892</v>
      </c>
      <c r="K297" s="79">
        <v>3.9632757175000002</v>
      </c>
      <c r="L297" s="79">
        <v>2.6797765662000002</v>
      </c>
      <c r="M297" s="79">
        <v>7.8532055767999998</v>
      </c>
      <c r="N297" s="79">
        <v>1.996012313</v>
      </c>
      <c r="O297" s="79">
        <v>1.5809885634</v>
      </c>
      <c r="P297" s="79">
        <v>0.84344719160000003</v>
      </c>
      <c r="Q297" s="79">
        <v>1.0694375887000001</v>
      </c>
      <c r="R297" s="79">
        <v>9.5323876799999999E-2</v>
      </c>
      <c r="S297" s="79">
        <v>9.6572932700000003E-2</v>
      </c>
      <c r="T297" s="79">
        <v>9.50828586E-2</v>
      </c>
    </row>
    <row r="298" spans="1:20" x14ac:dyDescent="0.2">
      <c r="A298" s="11">
        <v>297</v>
      </c>
      <c r="B298" s="11">
        <v>3</v>
      </c>
      <c r="C298" s="12" t="s">
        <v>567</v>
      </c>
      <c r="D298" s="13" t="s">
        <v>566</v>
      </c>
      <c r="E298" s="80">
        <v>4.3422485811999998</v>
      </c>
      <c r="F298" s="80">
        <v>2.1393722515000002</v>
      </c>
      <c r="G298" s="80">
        <v>4.1644958388999997</v>
      </c>
      <c r="H298" s="80">
        <v>6.7124019987999999</v>
      </c>
      <c r="I298" s="80">
        <v>4.6237223767</v>
      </c>
      <c r="J298" s="80">
        <v>1.969925892</v>
      </c>
      <c r="K298" s="80">
        <v>3.9632757175000002</v>
      </c>
      <c r="L298" s="80">
        <v>2.6797765662000002</v>
      </c>
      <c r="M298" s="80">
        <v>7.8532055767999998</v>
      </c>
      <c r="N298" s="80">
        <v>1.996012313</v>
      </c>
      <c r="O298" s="80">
        <v>1.5809885634</v>
      </c>
      <c r="P298" s="80">
        <v>0.84344719160000003</v>
      </c>
      <c r="Q298" s="80">
        <v>1.0694375887000001</v>
      </c>
      <c r="R298" s="80">
        <v>9.5323876799999999E-2</v>
      </c>
      <c r="S298" s="80">
        <v>9.6572932700000003E-2</v>
      </c>
      <c r="T298" s="80">
        <v>9.50828586E-2</v>
      </c>
    </row>
    <row r="299" spans="1:20" ht="15" x14ac:dyDescent="0.25">
      <c r="A299" s="4">
        <v>298</v>
      </c>
      <c r="B299" s="4">
        <v>1</v>
      </c>
      <c r="C299" s="5" t="s">
        <v>568</v>
      </c>
      <c r="D299" s="6" t="s">
        <v>569</v>
      </c>
      <c r="E299" s="78">
        <v>173.9312012</v>
      </c>
      <c r="F299" s="78">
        <v>181.86935729999999</v>
      </c>
      <c r="G299" s="78">
        <v>204.94276139999999</v>
      </c>
      <c r="H299" s="78">
        <v>197.28641210000001</v>
      </c>
      <c r="I299" s="78">
        <v>179.44913</v>
      </c>
      <c r="J299" s="78">
        <v>193.06179330000001</v>
      </c>
      <c r="K299" s="78">
        <v>199.74483430000001</v>
      </c>
      <c r="L299" s="78">
        <v>213.53064319999999</v>
      </c>
      <c r="M299" s="78">
        <v>191.51317750000001</v>
      </c>
      <c r="N299" s="78">
        <v>225.83873560000001</v>
      </c>
      <c r="O299" s="78">
        <v>209.87759629999999</v>
      </c>
      <c r="P299" s="78">
        <v>216.15673870000001</v>
      </c>
      <c r="Q299" s="78">
        <v>208.2527939</v>
      </c>
      <c r="R299" s="78">
        <v>220.68388630000001</v>
      </c>
      <c r="S299" s="78">
        <v>214.5233987</v>
      </c>
      <c r="T299" s="78">
        <v>220.57643999999999</v>
      </c>
    </row>
    <row r="300" spans="1:20" x14ac:dyDescent="0.2">
      <c r="A300" s="8">
        <v>299</v>
      </c>
      <c r="B300" s="8">
        <v>2</v>
      </c>
      <c r="C300" s="9" t="s">
        <v>570</v>
      </c>
      <c r="D300" s="10" t="s">
        <v>571</v>
      </c>
      <c r="E300" s="79">
        <v>42.549975064000002</v>
      </c>
      <c r="F300" s="79">
        <v>50.341783818000003</v>
      </c>
      <c r="G300" s="79">
        <v>51.549794534</v>
      </c>
      <c r="H300" s="79">
        <v>49.922222638000001</v>
      </c>
      <c r="I300" s="79">
        <v>41.781771171999999</v>
      </c>
      <c r="J300" s="79">
        <v>49.041853936999999</v>
      </c>
      <c r="K300" s="79">
        <v>49.441001978000003</v>
      </c>
      <c r="L300" s="79">
        <v>46.521862939999998</v>
      </c>
      <c r="M300" s="79">
        <v>42.528874967</v>
      </c>
      <c r="N300" s="79">
        <v>52.035807145</v>
      </c>
      <c r="O300" s="79">
        <v>40.721199745</v>
      </c>
      <c r="P300" s="79">
        <v>41.334636957999997</v>
      </c>
      <c r="Q300" s="79">
        <v>38.778632209000001</v>
      </c>
      <c r="R300" s="79">
        <v>43.337962929</v>
      </c>
      <c r="S300" s="79">
        <v>45.393813625999996</v>
      </c>
      <c r="T300" s="79">
        <v>33.287403582000003</v>
      </c>
    </row>
    <row r="301" spans="1:20" x14ac:dyDescent="0.2">
      <c r="A301" s="11">
        <v>300</v>
      </c>
      <c r="B301" s="11">
        <v>3</v>
      </c>
      <c r="C301" s="12" t="s">
        <v>572</v>
      </c>
      <c r="D301" s="13" t="s">
        <v>573</v>
      </c>
      <c r="E301" s="80">
        <v>9.84806555E-2</v>
      </c>
      <c r="F301" s="80">
        <v>9.8017629699999997E-2</v>
      </c>
      <c r="G301" s="80">
        <v>9.9619077700000003E-2</v>
      </c>
      <c r="H301" s="80">
        <v>0.37361085910000003</v>
      </c>
      <c r="I301" s="80">
        <v>0.10394181180000001</v>
      </c>
      <c r="J301" s="80">
        <v>0.1054227162</v>
      </c>
      <c r="K301" s="80">
        <v>0.48968713279999998</v>
      </c>
      <c r="L301" s="80">
        <v>0.1070774261</v>
      </c>
      <c r="M301" s="80">
        <v>0.1098135329</v>
      </c>
      <c r="N301" s="80">
        <v>9.3254380200000001E-2</v>
      </c>
      <c r="O301" s="80">
        <v>8.3945061400000007E-2</v>
      </c>
      <c r="P301" s="80">
        <v>7.3009004599999996E-2</v>
      </c>
      <c r="Q301" s="80">
        <v>0.35505873799999998</v>
      </c>
      <c r="R301" s="80">
        <v>6.5475863800000006E-2</v>
      </c>
      <c r="S301" s="80">
        <v>6.1492146099999999E-2</v>
      </c>
      <c r="T301" s="80">
        <v>5.76647146E-2</v>
      </c>
    </row>
    <row r="302" spans="1:20" x14ac:dyDescent="0.2">
      <c r="A302" s="11">
        <v>301</v>
      </c>
      <c r="B302" s="11">
        <v>3</v>
      </c>
      <c r="C302" s="12" t="s">
        <v>574</v>
      </c>
      <c r="D302" s="13" t="s">
        <v>575</v>
      </c>
      <c r="E302" s="80">
        <v>10.613684726000001</v>
      </c>
      <c r="F302" s="80">
        <v>11.253089441</v>
      </c>
      <c r="G302" s="80">
        <v>13.115514293</v>
      </c>
      <c r="H302" s="80">
        <v>8.6610226211000008</v>
      </c>
      <c r="I302" s="80">
        <v>11.302409581999999</v>
      </c>
      <c r="J302" s="80">
        <v>12.142048804</v>
      </c>
      <c r="K302" s="80">
        <v>8.3046149766999999</v>
      </c>
      <c r="L302" s="80">
        <v>10.258256907</v>
      </c>
      <c r="M302" s="80">
        <v>10.290205199000001</v>
      </c>
      <c r="N302" s="80">
        <v>12.516645110000001</v>
      </c>
      <c r="O302" s="80">
        <v>13.312959916000001</v>
      </c>
      <c r="P302" s="80">
        <v>12.158192117</v>
      </c>
      <c r="Q302" s="80">
        <v>13.837031345</v>
      </c>
      <c r="R302" s="80">
        <v>10.469907931</v>
      </c>
      <c r="S302" s="80">
        <v>14.583570513</v>
      </c>
      <c r="T302" s="80">
        <v>10.625119823</v>
      </c>
    </row>
    <row r="303" spans="1:20" s="16" customFormat="1" x14ac:dyDescent="0.2">
      <c r="A303" s="14">
        <v>302</v>
      </c>
      <c r="B303" s="14">
        <v>3</v>
      </c>
      <c r="C303" s="14" t="s">
        <v>576</v>
      </c>
      <c r="D303" s="15" t="s">
        <v>577</v>
      </c>
      <c r="E303" s="81">
        <v>9.9892115599999998E-2</v>
      </c>
      <c r="F303" s="81">
        <v>9.98683036E-2</v>
      </c>
      <c r="G303" s="81">
        <v>9.9866987899999995E-2</v>
      </c>
      <c r="H303" s="81">
        <v>9.9927307899999998E-2</v>
      </c>
      <c r="I303" s="81">
        <v>9.9999450899999995E-2</v>
      </c>
      <c r="J303" s="81">
        <v>0.1000674028</v>
      </c>
      <c r="K303" s="81">
        <v>0.1000896639</v>
      </c>
      <c r="L303" s="81">
        <v>0.10008815879999999</v>
      </c>
      <c r="M303" s="81">
        <v>0.1000171527</v>
      </c>
      <c r="N303" s="81">
        <v>9.9938035999999994E-2</v>
      </c>
      <c r="O303" s="81">
        <v>9.9872013600000004E-2</v>
      </c>
      <c r="P303" s="81">
        <v>9.9860982200000004E-2</v>
      </c>
      <c r="Q303" s="81">
        <v>9.9851910000000002E-2</v>
      </c>
      <c r="R303" s="81">
        <v>9.9852679099999994E-2</v>
      </c>
      <c r="S303" s="81">
        <v>9.9853616699999995E-2</v>
      </c>
      <c r="T303" s="81">
        <v>9.9853887799999999E-2</v>
      </c>
    </row>
    <row r="304" spans="1:20" x14ac:dyDescent="0.2">
      <c r="A304" s="11">
        <v>303</v>
      </c>
      <c r="B304" s="11">
        <v>3</v>
      </c>
      <c r="C304" s="12" t="s">
        <v>578</v>
      </c>
      <c r="D304" s="13" t="s">
        <v>579</v>
      </c>
      <c r="E304" s="80">
        <v>31.836385824000001</v>
      </c>
      <c r="F304" s="80">
        <v>38.767145194999998</v>
      </c>
      <c r="G304" s="80">
        <v>38.444897195000003</v>
      </c>
      <c r="H304" s="80">
        <v>40.881824752999997</v>
      </c>
      <c r="I304" s="80">
        <v>29.629178074999999</v>
      </c>
      <c r="J304" s="80">
        <v>36.306956562000003</v>
      </c>
      <c r="K304" s="80">
        <v>39.854394685000003</v>
      </c>
      <c r="L304" s="80">
        <v>35.110091750000002</v>
      </c>
      <c r="M304" s="80">
        <v>31.271887745000001</v>
      </c>
      <c r="N304" s="80">
        <v>38.872696595999997</v>
      </c>
      <c r="O304" s="80">
        <v>27.026623786999998</v>
      </c>
      <c r="P304" s="80">
        <v>28.352323420000001</v>
      </c>
      <c r="Q304" s="80">
        <v>23.942278569999999</v>
      </c>
      <c r="R304" s="80">
        <v>31.888976403000001</v>
      </c>
      <c r="S304" s="80">
        <v>29.260823560999999</v>
      </c>
      <c r="T304" s="80">
        <v>21.661928135</v>
      </c>
    </row>
    <row r="305" spans="1:20" x14ac:dyDescent="0.2">
      <c r="A305" s="11">
        <v>304</v>
      </c>
      <c r="B305" s="11">
        <v>3</v>
      </c>
      <c r="C305" s="12" t="s">
        <v>580</v>
      </c>
      <c r="D305" s="13" t="s">
        <v>581</v>
      </c>
      <c r="E305" s="80">
        <v>0.1094549118</v>
      </c>
      <c r="F305" s="80">
        <v>0.33467508870000001</v>
      </c>
      <c r="G305" s="80">
        <v>9.2320671300000004E-2</v>
      </c>
      <c r="H305" s="80">
        <v>9.0278757099999996E-2</v>
      </c>
      <c r="I305" s="80">
        <v>0.4816354497</v>
      </c>
      <c r="J305" s="80">
        <v>0.10443460240000001</v>
      </c>
      <c r="K305" s="80">
        <v>0.11744921680000001</v>
      </c>
      <c r="L305" s="80">
        <v>0.12815149279999999</v>
      </c>
      <c r="M305" s="80">
        <v>0.1277270995</v>
      </c>
      <c r="N305" s="80">
        <v>0.1181685686</v>
      </c>
      <c r="O305" s="80">
        <v>0.10607953169999999</v>
      </c>
      <c r="P305" s="80">
        <v>0.44036638890000002</v>
      </c>
      <c r="Q305" s="80">
        <v>9.0638587500000006E-2</v>
      </c>
      <c r="R305" s="80">
        <v>8.8906339299999998E-2</v>
      </c>
      <c r="S305" s="80">
        <v>0.25631520689999998</v>
      </c>
      <c r="T305" s="80">
        <v>8.9339583799999997E-2</v>
      </c>
    </row>
    <row r="306" spans="1:20" x14ac:dyDescent="0.2">
      <c r="A306" s="8">
        <v>305</v>
      </c>
      <c r="B306" s="8">
        <v>2</v>
      </c>
      <c r="C306" s="9" t="s">
        <v>582</v>
      </c>
      <c r="D306" s="10" t="s">
        <v>583</v>
      </c>
      <c r="E306" s="79">
        <v>131.34245206</v>
      </c>
      <c r="F306" s="79">
        <v>131.39551745</v>
      </c>
      <c r="G306" s="79">
        <v>153.10722447000001</v>
      </c>
      <c r="H306" s="79">
        <v>146.86526406999999</v>
      </c>
      <c r="I306" s="79">
        <v>137.06621996999999</v>
      </c>
      <c r="J306" s="79">
        <v>143.11485428</v>
      </c>
      <c r="K306" s="79">
        <v>149.23279244</v>
      </c>
      <c r="L306" s="79">
        <v>165.78054729999999</v>
      </c>
      <c r="M306" s="79">
        <v>147.88956367</v>
      </c>
      <c r="N306" s="79">
        <v>172.58312950999999</v>
      </c>
      <c r="O306" s="79">
        <v>168.18865865000001</v>
      </c>
      <c r="P306" s="79">
        <v>174.09447625999999</v>
      </c>
      <c r="Q306" s="79">
        <v>169.10382963000001</v>
      </c>
      <c r="R306" s="79">
        <v>177.30525847000001</v>
      </c>
      <c r="S306" s="79">
        <v>169.30386519999999</v>
      </c>
      <c r="T306" s="79">
        <v>187.02969863000001</v>
      </c>
    </row>
    <row r="307" spans="1:20" x14ac:dyDescent="0.2">
      <c r="A307" s="11">
        <v>306</v>
      </c>
      <c r="B307" s="11">
        <v>3</v>
      </c>
      <c r="C307" s="12" t="s">
        <v>584</v>
      </c>
      <c r="D307" s="13" t="s">
        <v>585</v>
      </c>
      <c r="E307" s="80">
        <v>2.601938493</v>
      </c>
      <c r="F307" s="80">
        <v>1.2991018507000001</v>
      </c>
      <c r="G307" s="80">
        <v>6.1483496761999996</v>
      </c>
      <c r="H307" s="80">
        <v>2.9152601992</v>
      </c>
      <c r="I307" s="80">
        <v>4.0620533655999997</v>
      </c>
      <c r="J307" s="80">
        <v>1.6850813356000001</v>
      </c>
      <c r="K307" s="80">
        <v>4.3672303280999998</v>
      </c>
      <c r="L307" s="80">
        <v>2.061973558</v>
      </c>
      <c r="M307" s="80">
        <v>2.3579583532999999</v>
      </c>
      <c r="N307" s="80">
        <v>0.60549812400000003</v>
      </c>
      <c r="O307" s="80">
        <v>2.7274321962000001</v>
      </c>
      <c r="P307" s="80">
        <v>3.6167880558999999</v>
      </c>
      <c r="Q307" s="80">
        <v>2.3379453673000001</v>
      </c>
      <c r="R307" s="80">
        <v>2.3984923413999999</v>
      </c>
      <c r="S307" s="80">
        <v>1.5309690445999999</v>
      </c>
      <c r="T307" s="80">
        <v>0.71749019329999997</v>
      </c>
    </row>
    <row r="308" spans="1:20" x14ac:dyDescent="0.2">
      <c r="A308" s="11">
        <v>307</v>
      </c>
      <c r="B308" s="11">
        <v>3</v>
      </c>
      <c r="C308" s="12" t="s">
        <v>586</v>
      </c>
      <c r="D308" s="13" t="s">
        <v>587</v>
      </c>
      <c r="E308" s="80">
        <v>34.043184494999998</v>
      </c>
      <c r="F308" s="80">
        <v>29.550079998000001</v>
      </c>
      <c r="G308" s="80">
        <v>47.839191978999999</v>
      </c>
      <c r="H308" s="80">
        <v>40.159521044999998</v>
      </c>
      <c r="I308" s="80">
        <v>36.722329199000001</v>
      </c>
      <c r="J308" s="80">
        <v>35.423104997999999</v>
      </c>
      <c r="K308" s="80">
        <v>33.689853450999998</v>
      </c>
      <c r="L308" s="80">
        <v>38.991353619000002</v>
      </c>
      <c r="M308" s="80">
        <v>36.680322953000001</v>
      </c>
      <c r="N308" s="80">
        <v>40.479978453000001</v>
      </c>
      <c r="O308" s="80">
        <v>43.027287395000002</v>
      </c>
      <c r="P308" s="80">
        <v>44.315909759999997</v>
      </c>
      <c r="Q308" s="80">
        <v>41.949978702999999</v>
      </c>
      <c r="R308" s="80">
        <v>41.750396469999998</v>
      </c>
      <c r="S308" s="80">
        <v>38.716111081000001</v>
      </c>
      <c r="T308" s="80">
        <v>39.084691890999999</v>
      </c>
    </row>
    <row r="309" spans="1:20" x14ac:dyDescent="0.2">
      <c r="A309" s="11">
        <v>308</v>
      </c>
      <c r="B309" s="11">
        <v>3</v>
      </c>
      <c r="C309" s="12" t="s">
        <v>588</v>
      </c>
      <c r="D309" s="13" t="s">
        <v>589</v>
      </c>
      <c r="E309" s="80">
        <v>94.703097235000001</v>
      </c>
      <c r="F309" s="80">
        <v>100.83532052</v>
      </c>
      <c r="G309" s="80">
        <v>99.272180618999997</v>
      </c>
      <c r="H309" s="80">
        <v>104.60879151</v>
      </c>
      <c r="I309" s="80">
        <v>96.333329689999999</v>
      </c>
      <c r="J309" s="80">
        <v>105.93943059</v>
      </c>
      <c r="K309" s="80">
        <v>109.84905123999999</v>
      </c>
      <c r="L309" s="80">
        <v>122.54470498000001</v>
      </c>
      <c r="M309" s="80">
        <v>106.90985915</v>
      </c>
      <c r="N309" s="80">
        <v>129.78674968999999</v>
      </c>
      <c r="O309" s="80">
        <v>122.12048196000001</v>
      </c>
      <c r="P309" s="80">
        <v>126.09902447</v>
      </c>
      <c r="Q309" s="80">
        <v>124.25007324000001</v>
      </c>
      <c r="R309" s="80">
        <v>131.96630716000001</v>
      </c>
      <c r="S309" s="80">
        <v>127.21600513</v>
      </c>
      <c r="T309" s="80">
        <v>144.53474037000001</v>
      </c>
    </row>
    <row r="310" spans="1:20" x14ac:dyDescent="0.2">
      <c r="A310" s="8">
        <v>309</v>
      </c>
      <c r="B310" s="8">
        <v>2</v>
      </c>
      <c r="C310" s="9" t="s">
        <v>590</v>
      </c>
      <c r="D310" s="10" t="s">
        <v>591</v>
      </c>
      <c r="E310" s="79">
        <v>0.1</v>
      </c>
      <c r="F310" s="79">
        <v>0.1</v>
      </c>
      <c r="G310" s="79">
        <v>0.1</v>
      </c>
      <c r="H310" s="79">
        <v>0.1</v>
      </c>
      <c r="I310" s="79">
        <v>0.1</v>
      </c>
      <c r="J310" s="79">
        <v>0.1</v>
      </c>
      <c r="K310" s="79">
        <v>0.1</v>
      </c>
      <c r="L310" s="79">
        <v>0.1</v>
      </c>
      <c r="M310" s="79">
        <v>0.1</v>
      </c>
      <c r="N310" s="79">
        <v>0.1</v>
      </c>
      <c r="O310" s="79">
        <v>0.1</v>
      </c>
      <c r="P310" s="79">
        <v>0.1</v>
      </c>
      <c r="Q310" s="79">
        <v>0.1</v>
      </c>
      <c r="R310" s="79">
        <v>0.1</v>
      </c>
      <c r="S310" s="79">
        <v>0.1</v>
      </c>
      <c r="T310" s="79">
        <v>0.1</v>
      </c>
    </row>
    <row r="311" spans="1:20" x14ac:dyDescent="0.2">
      <c r="A311" s="11">
        <v>310</v>
      </c>
      <c r="B311" s="11">
        <v>3</v>
      </c>
      <c r="C311" s="12" t="s">
        <v>592</v>
      </c>
      <c r="D311" s="13" t="s">
        <v>591</v>
      </c>
      <c r="E311" s="80">
        <v>0.1</v>
      </c>
      <c r="F311" s="80">
        <v>0.1</v>
      </c>
      <c r="G311" s="80">
        <v>0.1</v>
      </c>
      <c r="H311" s="80">
        <v>0.1</v>
      </c>
      <c r="I311" s="80">
        <v>0.1</v>
      </c>
      <c r="J311" s="80">
        <v>0.1</v>
      </c>
      <c r="K311" s="80">
        <v>0.1</v>
      </c>
      <c r="L311" s="80">
        <v>0.1</v>
      </c>
      <c r="M311" s="80">
        <v>0.1</v>
      </c>
      <c r="N311" s="80">
        <v>0.1</v>
      </c>
      <c r="O311" s="80">
        <v>0.1</v>
      </c>
      <c r="P311" s="80">
        <v>0.1</v>
      </c>
      <c r="Q311" s="80">
        <v>0.1</v>
      </c>
      <c r="R311" s="80">
        <v>0.1</v>
      </c>
      <c r="S311" s="80">
        <v>0.1</v>
      </c>
      <c r="T311" s="80">
        <v>0.1</v>
      </c>
    </row>
    <row r="312" spans="1:20" ht="15" x14ac:dyDescent="0.25">
      <c r="A312" s="4">
        <v>311</v>
      </c>
      <c r="B312" s="4">
        <v>1</v>
      </c>
      <c r="C312" s="5" t="s">
        <v>593</v>
      </c>
      <c r="D312" s="6" t="s">
        <v>594</v>
      </c>
      <c r="E312" s="78">
        <v>680.94784449999997</v>
      </c>
      <c r="F312" s="78">
        <v>726.61268930000006</v>
      </c>
      <c r="G312" s="78">
        <v>744.80926599999998</v>
      </c>
      <c r="H312" s="78">
        <v>788.37558409999997</v>
      </c>
      <c r="I312" s="78">
        <v>777.8119772</v>
      </c>
      <c r="J312" s="78">
        <v>844.81173799999999</v>
      </c>
      <c r="K312" s="78">
        <v>847.64430170000003</v>
      </c>
      <c r="L312" s="78">
        <v>927.97554430000002</v>
      </c>
      <c r="M312" s="78">
        <v>908.43097309999996</v>
      </c>
      <c r="N312" s="78">
        <v>933.65768119999996</v>
      </c>
      <c r="O312" s="78">
        <v>1023.0431364999999</v>
      </c>
      <c r="P312" s="78">
        <v>980.18346240000005</v>
      </c>
      <c r="Q312" s="78">
        <v>1000.9727652</v>
      </c>
      <c r="R312" s="78">
        <v>1054.3309164</v>
      </c>
      <c r="S312" s="78">
        <v>1138.5674924</v>
      </c>
      <c r="T312" s="78">
        <v>1108.9816542000001</v>
      </c>
    </row>
    <row r="313" spans="1:20" x14ac:dyDescent="0.2">
      <c r="A313" s="8">
        <v>312</v>
      </c>
      <c r="B313" s="8">
        <v>2</v>
      </c>
      <c r="C313" s="9" t="s">
        <v>595</v>
      </c>
      <c r="D313" s="10" t="s">
        <v>596</v>
      </c>
      <c r="E313" s="79">
        <v>571.76667593000002</v>
      </c>
      <c r="F313" s="79">
        <v>603.05044733</v>
      </c>
      <c r="G313" s="79">
        <v>619.41394104999995</v>
      </c>
      <c r="H313" s="79">
        <v>653.50847524999995</v>
      </c>
      <c r="I313" s="79">
        <v>616.40859329</v>
      </c>
      <c r="J313" s="79">
        <v>689.65818729</v>
      </c>
      <c r="K313" s="79">
        <v>678.18583040999999</v>
      </c>
      <c r="L313" s="79">
        <v>738.55415579999999</v>
      </c>
      <c r="M313" s="79">
        <v>724.78858138999999</v>
      </c>
      <c r="N313" s="79">
        <v>746.91718031000005</v>
      </c>
      <c r="O313" s="79">
        <v>813.54572903999997</v>
      </c>
      <c r="P313" s="79">
        <v>768.42565422999996</v>
      </c>
      <c r="Q313" s="79">
        <v>768.70303750000005</v>
      </c>
      <c r="R313" s="79">
        <v>805.98990629000002</v>
      </c>
      <c r="S313" s="79">
        <v>887.43612766000001</v>
      </c>
      <c r="T313" s="79">
        <v>837.00575015000004</v>
      </c>
    </row>
    <row r="314" spans="1:20" x14ac:dyDescent="0.2">
      <c r="A314" s="11">
        <v>313</v>
      </c>
      <c r="B314" s="11">
        <v>3</v>
      </c>
      <c r="C314" s="12" t="s">
        <v>597</v>
      </c>
      <c r="D314" s="13" t="s">
        <v>598</v>
      </c>
      <c r="E314" s="80">
        <v>0.53488354309999997</v>
      </c>
      <c r="F314" s="80">
        <v>0.14246377730000001</v>
      </c>
      <c r="G314" s="80">
        <v>0.54846331319999997</v>
      </c>
      <c r="H314" s="80">
        <v>1.0917989258</v>
      </c>
      <c r="I314" s="80">
        <v>0.92222817040000005</v>
      </c>
      <c r="J314" s="80">
        <v>0.49288780059999998</v>
      </c>
      <c r="K314" s="80">
        <v>0.11578544020000001</v>
      </c>
      <c r="L314" s="80">
        <v>0.62885367189999997</v>
      </c>
      <c r="M314" s="80">
        <v>0.87897457729999995</v>
      </c>
      <c r="N314" s="80">
        <v>0.44393920129999997</v>
      </c>
      <c r="O314" s="80">
        <v>0.60144096579999995</v>
      </c>
      <c r="P314" s="80">
        <v>1.1912321223</v>
      </c>
      <c r="Q314" s="80">
        <v>0.17245916319999999</v>
      </c>
      <c r="R314" s="80">
        <v>0.80486366139999999</v>
      </c>
      <c r="S314" s="80">
        <v>2.2584919414</v>
      </c>
      <c r="T314" s="80">
        <v>0.17027309290000001</v>
      </c>
    </row>
    <row r="315" spans="1:20" x14ac:dyDescent="0.2">
      <c r="A315" s="11">
        <v>314</v>
      </c>
      <c r="B315" s="11">
        <v>3</v>
      </c>
      <c r="C315" s="12" t="s">
        <v>599</v>
      </c>
      <c r="D315" s="13" t="s">
        <v>600</v>
      </c>
      <c r="E315" s="80">
        <v>31.816044873999999</v>
      </c>
      <c r="F315" s="80">
        <v>41.758152053000003</v>
      </c>
      <c r="G315" s="80">
        <v>35.587293711999997</v>
      </c>
      <c r="H315" s="80">
        <v>35.599716143999999</v>
      </c>
      <c r="I315" s="80">
        <v>32.781509343000003</v>
      </c>
      <c r="J315" s="80">
        <v>36.737459233999999</v>
      </c>
      <c r="K315" s="80">
        <v>30.665248899000002</v>
      </c>
      <c r="L315" s="80">
        <v>41.357521525999999</v>
      </c>
      <c r="M315" s="80">
        <v>33.572583092000002</v>
      </c>
      <c r="N315" s="80">
        <v>27.175458125999999</v>
      </c>
      <c r="O315" s="80">
        <v>32.578856917000003</v>
      </c>
      <c r="P315" s="80">
        <v>38.459648878000003</v>
      </c>
      <c r="Q315" s="80">
        <v>42.724428852000003</v>
      </c>
      <c r="R315" s="80">
        <v>48.199162549</v>
      </c>
      <c r="S315" s="80">
        <v>38.319794860999998</v>
      </c>
      <c r="T315" s="80">
        <v>41.396842331999999</v>
      </c>
    </row>
    <row r="316" spans="1:20" x14ac:dyDescent="0.2">
      <c r="A316" s="11">
        <v>315</v>
      </c>
      <c r="B316" s="11">
        <v>3</v>
      </c>
      <c r="C316" s="12" t="s">
        <v>601</v>
      </c>
      <c r="D316" s="13" t="s">
        <v>602</v>
      </c>
      <c r="E316" s="80">
        <v>174.91736997000001</v>
      </c>
      <c r="F316" s="80">
        <v>180.90394592999999</v>
      </c>
      <c r="G316" s="80">
        <v>200.99026454</v>
      </c>
      <c r="H316" s="80">
        <v>217.93386627000001</v>
      </c>
      <c r="I316" s="80">
        <v>196.16014018000001</v>
      </c>
      <c r="J316" s="80">
        <v>217.57699266</v>
      </c>
      <c r="K316" s="80">
        <v>235.86724688999999</v>
      </c>
      <c r="L316" s="80">
        <v>249.76271567000001</v>
      </c>
      <c r="M316" s="80">
        <v>255.44407024</v>
      </c>
      <c r="N316" s="80">
        <v>252.94382182999999</v>
      </c>
      <c r="O316" s="80">
        <v>317.16657081</v>
      </c>
      <c r="P316" s="80">
        <v>277.81847882</v>
      </c>
      <c r="Q316" s="80">
        <v>263.85107190000002</v>
      </c>
      <c r="R316" s="80">
        <v>248.05833564</v>
      </c>
      <c r="S316" s="80">
        <v>317.72181348999999</v>
      </c>
      <c r="T316" s="80">
        <v>269.05714105999999</v>
      </c>
    </row>
    <row r="317" spans="1:20" x14ac:dyDescent="0.2">
      <c r="A317" s="11">
        <v>316</v>
      </c>
      <c r="B317" s="11">
        <v>3</v>
      </c>
      <c r="C317" s="12" t="s">
        <v>603</v>
      </c>
      <c r="D317" s="13" t="s">
        <v>604</v>
      </c>
      <c r="E317" s="80">
        <v>211.40843511</v>
      </c>
      <c r="F317" s="80">
        <v>228.31193003999999</v>
      </c>
      <c r="G317" s="80">
        <v>234.85941905999999</v>
      </c>
      <c r="H317" s="80">
        <v>221.57054101</v>
      </c>
      <c r="I317" s="80">
        <v>230.7332217</v>
      </c>
      <c r="J317" s="80">
        <v>250.21870074</v>
      </c>
      <c r="K317" s="80">
        <v>230.04293239</v>
      </c>
      <c r="L317" s="80">
        <v>249.10924080000001</v>
      </c>
      <c r="M317" s="80">
        <v>250.71711019</v>
      </c>
      <c r="N317" s="80">
        <v>265.81536326000003</v>
      </c>
      <c r="O317" s="80">
        <v>256.72620305999999</v>
      </c>
      <c r="P317" s="80">
        <v>254.86101550000001</v>
      </c>
      <c r="Q317" s="80">
        <v>269.22696943</v>
      </c>
      <c r="R317" s="80">
        <v>279.65402146999998</v>
      </c>
      <c r="S317" s="80">
        <v>293.69868141000001</v>
      </c>
      <c r="T317" s="80">
        <v>292.98816069999998</v>
      </c>
    </row>
    <row r="318" spans="1:20" x14ac:dyDescent="0.2">
      <c r="A318" s="11">
        <v>317</v>
      </c>
      <c r="B318" s="11">
        <v>3</v>
      </c>
      <c r="C318" s="12" t="s">
        <v>605</v>
      </c>
      <c r="D318" s="13" t="s">
        <v>606</v>
      </c>
      <c r="E318" s="80">
        <v>23.590742657</v>
      </c>
      <c r="F318" s="80">
        <v>22.514229997000001</v>
      </c>
      <c r="G318" s="80">
        <v>21.698627093999999</v>
      </c>
      <c r="H318" s="80">
        <v>30.615355204</v>
      </c>
      <c r="I318" s="80">
        <v>30.877776589</v>
      </c>
      <c r="J318" s="80">
        <v>30.550509903999998</v>
      </c>
      <c r="K318" s="80">
        <v>32.185873457</v>
      </c>
      <c r="L318" s="80">
        <v>38.574233476000003</v>
      </c>
      <c r="M318" s="80">
        <v>31.16484985</v>
      </c>
      <c r="N318" s="80">
        <v>27.905866217</v>
      </c>
      <c r="O318" s="80">
        <v>35.189729946999996</v>
      </c>
      <c r="P318" s="80">
        <v>31.949993877000001</v>
      </c>
      <c r="Q318" s="80">
        <v>31.922574218000001</v>
      </c>
      <c r="R318" s="80">
        <v>32.347285737999997</v>
      </c>
      <c r="S318" s="80">
        <v>26.112064053000001</v>
      </c>
      <c r="T318" s="80">
        <v>38.246914566999997</v>
      </c>
    </row>
    <row r="319" spans="1:20" x14ac:dyDescent="0.2">
      <c r="A319" s="11">
        <v>318</v>
      </c>
      <c r="B319" s="11">
        <v>3</v>
      </c>
      <c r="C319" s="12" t="s">
        <v>607</v>
      </c>
      <c r="D319" s="13" t="s">
        <v>608</v>
      </c>
      <c r="E319" s="80">
        <v>31.191435006999999</v>
      </c>
      <c r="F319" s="80">
        <v>30.220181509</v>
      </c>
      <c r="G319" s="80">
        <v>28.629653927</v>
      </c>
      <c r="H319" s="80">
        <v>31.346518149000001</v>
      </c>
      <c r="I319" s="80">
        <v>30.730794939999999</v>
      </c>
      <c r="J319" s="80">
        <v>34.487049501999998</v>
      </c>
      <c r="K319" s="80">
        <v>29.299519519</v>
      </c>
      <c r="L319" s="80">
        <v>31.343372617</v>
      </c>
      <c r="M319" s="80">
        <v>26.319089375000001</v>
      </c>
      <c r="N319" s="80">
        <v>40.909772226999998</v>
      </c>
      <c r="O319" s="80">
        <v>38.754689812000002</v>
      </c>
      <c r="P319" s="80">
        <v>31.000683211999998</v>
      </c>
      <c r="Q319" s="80">
        <v>35.03625847</v>
      </c>
      <c r="R319" s="80">
        <v>37.779813658999998</v>
      </c>
      <c r="S319" s="80">
        <v>43.590619349999997</v>
      </c>
      <c r="T319" s="80">
        <v>36.671118645</v>
      </c>
    </row>
    <row r="320" spans="1:20" x14ac:dyDescent="0.2">
      <c r="A320" s="11">
        <v>319</v>
      </c>
      <c r="B320" s="11">
        <v>3</v>
      </c>
      <c r="C320" s="12" t="s">
        <v>609</v>
      </c>
      <c r="D320" s="13" t="s">
        <v>610</v>
      </c>
      <c r="E320" s="80">
        <v>73.575549580000001</v>
      </c>
      <c r="F320" s="80">
        <v>69.610805534999997</v>
      </c>
      <c r="G320" s="80">
        <v>64.354288616999995</v>
      </c>
      <c r="H320" s="80">
        <v>80.783264696000003</v>
      </c>
      <c r="I320" s="80">
        <v>61.448069564000001</v>
      </c>
      <c r="J320" s="80">
        <v>84.210125499</v>
      </c>
      <c r="K320" s="80">
        <v>76.743628935999993</v>
      </c>
      <c r="L320" s="80">
        <v>85.919064508000005</v>
      </c>
      <c r="M320" s="80">
        <v>88.104394541000005</v>
      </c>
      <c r="N320" s="80">
        <v>100.84455321999999</v>
      </c>
      <c r="O320" s="80">
        <v>92.151204347999993</v>
      </c>
      <c r="P320" s="80">
        <v>103.28710761000001</v>
      </c>
      <c r="Q320" s="80">
        <v>87.209710908999995</v>
      </c>
      <c r="R320" s="80">
        <v>118.38549307</v>
      </c>
      <c r="S320" s="80">
        <v>119.28641102</v>
      </c>
      <c r="T320" s="80">
        <v>102.21074932000001</v>
      </c>
    </row>
    <row r="321" spans="1:20" x14ac:dyDescent="0.2">
      <c r="A321" s="11">
        <v>320</v>
      </c>
      <c r="B321" s="11">
        <v>3</v>
      </c>
      <c r="C321" s="12" t="s">
        <v>611</v>
      </c>
      <c r="D321" s="13" t="s">
        <v>612</v>
      </c>
      <c r="E321" s="80">
        <v>14.679042248</v>
      </c>
      <c r="F321" s="80">
        <v>18.880498089</v>
      </c>
      <c r="G321" s="80">
        <v>18.022170663000001</v>
      </c>
      <c r="H321" s="80">
        <v>20.840393426999999</v>
      </c>
      <c r="I321" s="80">
        <v>13.788737021999999</v>
      </c>
      <c r="J321" s="80">
        <v>15.147830637</v>
      </c>
      <c r="K321" s="80">
        <v>21.466895866000002</v>
      </c>
      <c r="L321" s="80">
        <v>22.390885347000001</v>
      </c>
      <c r="M321" s="80">
        <v>23.822251341000001</v>
      </c>
      <c r="N321" s="80">
        <v>18.814554039000001</v>
      </c>
      <c r="O321" s="80">
        <v>26.312404340000001</v>
      </c>
      <c r="P321" s="80">
        <v>20.211283768000001</v>
      </c>
      <c r="Q321" s="80">
        <v>29.038805346</v>
      </c>
      <c r="R321" s="80">
        <v>21.800187735000002</v>
      </c>
      <c r="S321" s="80">
        <v>25.355770301</v>
      </c>
      <c r="T321" s="80">
        <v>36.938218501000001</v>
      </c>
    </row>
    <row r="322" spans="1:20" x14ac:dyDescent="0.2">
      <c r="A322" s="11">
        <v>321</v>
      </c>
      <c r="B322" s="11">
        <v>3</v>
      </c>
      <c r="C322" s="12" t="s">
        <v>613</v>
      </c>
      <c r="D322" s="13" t="s">
        <v>614</v>
      </c>
      <c r="E322" s="80">
        <v>12.422966166</v>
      </c>
      <c r="F322" s="80">
        <v>12.610185100000001</v>
      </c>
      <c r="G322" s="80">
        <v>16.509163568999998</v>
      </c>
      <c r="H322" s="80">
        <v>15.167085291999999</v>
      </c>
      <c r="I322" s="80">
        <v>18.913327742</v>
      </c>
      <c r="J322" s="80">
        <v>20.417148391000001</v>
      </c>
      <c r="K322" s="80">
        <v>23.992580634999999</v>
      </c>
      <c r="L322" s="80">
        <v>23.653173562999999</v>
      </c>
      <c r="M322" s="80">
        <v>21.512800760000001</v>
      </c>
      <c r="N322" s="80">
        <v>21.349806237999999</v>
      </c>
      <c r="O322" s="80">
        <v>27.112825778000001</v>
      </c>
      <c r="P322" s="80">
        <v>24.504782030000001</v>
      </c>
      <c r="Q322" s="80">
        <v>24.181024587</v>
      </c>
      <c r="R322" s="80">
        <v>32.302254366</v>
      </c>
      <c r="S322" s="80">
        <v>36.271835254000003</v>
      </c>
      <c r="T322" s="80">
        <v>31.405391902000002</v>
      </c>
    </row>
    <row r="323" spans="1:20" x14ac:dyDescent="0.2">
      <c r="A323" s="8">
        <v>322</v>
      </c>
      <c r="B323" s="8">
        <v>2</v>
      </c>
      <c r="C323" s="9" t="s">
        <v>615</v>
      </c>
      <c r="D323" s="10" t="s">
        <v>616</v>
      </c>
      <c r="E323" s="79">
        <v>105.74070832</v>
      </c>
      <c r="F323" s="79">
        <v>120.16793173000001</v>
      </c>
      <c r="G323" s="79">
        <v>121.4429064</v>
      </c>
      <c r="H323" s="79">
        <v>130.67728853</v>
      </c>
      <c r="I323" s="79">
        <v>157.20971771000001</v>
      </c>
      <c r="J323" s="79">
        <v>150.04181896</v>
      </c>
      <c r="K323" s="79">
        <v>163.6192107</v>
      </c>
      <c r="L323" s="79">
        <v>182.32720273999999</v>
      </c>
      <c r="M323" s="79">
        <v>175.18903624000001</v>
      </c>
      <c r="N323" s="79">
        <v>176.02605462</v>
      </c>
      <c r="O323" s="79">
        <v>197.91805317999999</v>
      </c>
      <c r="P323" s="79">
        <v>200.81211271000001</v>
      </c>
      <c r="Q323" s="79">
        <v>221.84931978</v>
      </c>
      <c r="R323" s="79">
        <v>239.93208138</v>
      </c>
      <c r="S323" s="79">
        <v>245.00160005000001</v>
      </c>
      <c r="T323" s="79">
        <v>265.80474213000002</v>
      </c>
    </row>
    <row r="324" spans="1:20" x14ac:dyDescent="0.2">
      <c r="A324" s="11">
        <v>323</v>
      </c>
      <c r="B324" s="11">
        <v>3</v>
      </c>
      <c r="C324" s="12" t="s">
        <v>617</v>
      </c>
      <c r="D324" s="13" t="s">
        <v>616</v>
      </c>
      <c r="E324" s="80">
        <v>105.74070832</v>
      </c>
      <c r="F324" s="80">
        <v>120.16793173000001</v>
      </c>
      <c r="G324" s="80">
        <v>121.4429064</v>
      </c>
      <c r="H324" s="80">
        <v>130.67728853</v>
      </c>
      <c r="I324" s="80">
        <v>157.20971771000001</v>
      </c>
      <c r="J324" s="80">
        <v>150.04181896</v>
      </c>
      <c r="K324" s="80">
        <v>163.6192107</v>
      </c>
      <c r="L324" s="80">
        <v>182.32720273999999</v>
      </c>
      <c r="M324" s="80">
        <v>175.18903624000001</v>
      </c>
      <c r="N324" s="80">
        <v>176.02605462</v>
      </c>
      <c r="O324" s="80">
        <v>197.91805317999999</v>
      </c>
      <c r="P324" s="80">
        <v>200.81211271000001</v>
      </c>
      <c r="Q324" s="80">
        <v>221.84931978</v>
      </c>
      <c r="R324" s="80">
        <v>239.93208138</v>
      </c>
      <c r="S324" s="80">
        <v>245.00160005000001</v>
      </c>
      <c r="T324" s="80">
        <v>265.80474213000002</v>
      </c>
    </row>
    <row r="325" spans="1:20" x14ac:dyDescent="0.2">
      <c r="A325" s="8">
        <v>324</v>
      </c>
      <c r="B325" s="8">
        <v>2</v>
      </c>
      <c r="C325" s="9" t="s">
        <v>618</v>
      </c>
      <c r="D325" s="10" t="s">
        <v>619</v>
      </c>
      <c r="E325" s="79">
        <v>0.2260609472</v>
      </c>
      <c r="F325" s="79">
        <v>8.4599656300000006E-2</v>
      </c>
      <c r="G325" s="79">
        <v>0.2322404032</v>
      </c>
      <c r="H325" s="79">
        <v>9.9559295699999995E-2</v>
      </c>
      <c r="I325" s="79">
        <v>0.11111768079999999</v>
      </c>
      <c r="J325" s="79">
        <v>0.21156254420000001</v>
      </c>
      <c r="K325" s="79">
        <v>0.42427038589999999</v>
      </c>
      <c r="L325" s="79">
        <v>0.1059639959</v>
      </c>
      <c r="M325" s="79">
        <v>0.1056623815</v>
      </c>
      <c r="N325" s="79">
        <v>1.0242143658</v>
      </c>
      <c r="O325" s="79">
        <v>0.11137863420000001</v>
      </c>
      <c r="P325" s="79">
        <v>0.1118772992</v>
      </c>
      <c r="Q325" s="79">
        <v>0.180943928</v>
      </c>
      <c r="R325" s="79">
        <v>0.1071488894</v>
      </c>
      <c r="S325" s="79">
        <v>0.1089561133</v>
      </c>
      <c r="T325" s="79">
        <v>0.11241828869999999</v>
      </c>
    </row>
    <row r="326" spans="1:20" x14ac:dyDescent="0.2">
      <c r="A326" s="11">
        <v>325</v>
      </c>
      <c r="B326" s="11">
        <v>3</v>
      </c>
      <c r="C326" s="12" t="s">
        <v>620</v>
      </c>
      <c r="D326" s="13" t="s">
        <v>619</v>
      </c>
      <c r="E326" s="80">
        <v>0.2260609472</v>
      </c>
      <c r="F326" s="80">
        <v>8.4599656300000006E-2</v>
      </c>
      <c r="G326" s="80">
        <v>0.2322404032</v>
      </c>
      <c r="H326" s="80">
        <v>9.9559295699999995E-2</v>
      </c>
      <c r="I326" s="80">
        <v>0.11111768079999999</v>
      </c>
      <c r="J326" s="80">
        <v>0.21156254420000001</v>
      </c>
      <c r="K326" s="80">
        <v>0.42427038589999999</v>
      </c>
      <c r="L326" s="80">
        <v>0.1059639959</v>
      </c>
      <c r="M326" s="80">
        <v>0.1056623815</v>
      </c>
      <c r="N326" s="80">
        <v>1.0242143658</v>
      </c>
      <c r="O326" s="80">
        <v>0.11137863420000001</v>
      </c>
      <c r="P326" s="80">
        <v>0.1118772992</v>
      </c>
      <c r="Q326" s="80">
        <v>0.180943928</v>
      </c>
      <c r="R326" s="80">
        <v>0.1071488894</v>
      </c>
      <c r="S326" s="80">
        <v>0.1089561133</v>
      </c>
      <c r="T326" s="80">
        <v>0.11241828869999999</v>
      </c>
    </row>
    <row r="327" spans="1:20" ht="15" x14ac:dyDescent="0.25">
      <c r="A327" s="4">
        <v>326</v>
      </c>
      <c r="B327" s="4">
        <v>1</v>
      </c>
      <c r="C327" s="5" t="s">
        <v>621</v>
      </c>
      <c r="D327" s="6" t="s">
        <v>622</v>
      </c>
      <c r="E327" s="78">
        <v>352.37932960000001</v>
      </c>
      <c r="F327" s="78">
        <v>345.18723230000001</v>
      </c>
      <c r="G327" s="78">
        <v>353.77619129999999</v>
      </c>
      <c r="H327" s="78">
        <v>342.42186029999999</v>
      </c>
      <c r="I327" s="78">
        <v>346.21554259999999</v>
      </c>
      <c r="J327" s="78">
        <v>368.43210160000001</v>
      </c>
      <c r="K327" s="78">
        <v>392.63237020000003</v>
      </c>
      <c r="L327" s="78">
        <v>394.55600679999998</v>
      </c>
      <c r="M327" s="78">
        <v>388.97432629999997</v>
      </c>
      <c r="N327" s="78">
        <v>393.04523690000002</v>
      </c>
      <c r="O327" s="78">
        <v>409.22295880000001</v>
      </c>
      <c r="P327" s="78">
        <v>411.36460649999998</v>
      </c>
      <c r="Q327" s="78">
        <v>392.65580069999999</v>
      </c>
      <c r="R327" s="78">
        <v>415.63067230000001</v>
      </c>
      <c r="S327" s="78">
        <v>461.41252539999999</v>
      </c>
      <c r="T327" s="78">
        <v>388.98924529999999</v>
      </c>
    </row>
    <row r="328" spans="1:20" x14ac:dyDescent="0.2">
      <c r="A328" s="8">
        <v>327</v>
      </c>
      <c r="B328" s="8">
        <v>2</v>
      </c>
      <c r="C328" s="9" t="s">
        <v>623</v>
      </c>
      <c r="D328" s="10" t="s">
        <v>624</v>
      </c>
      <c r="E328" s="79">
        <v>185.74156776999999</v>
      </c>
      <c r="F328" s="79">
        <v>178.37850237999999</v>
      </c>
      <c r="G328" s="79">
        <v>195.84180255999999</v>
      </c>
      <c r="H328" s="79">
        <v>185.27466444999999</v>
      </c>
      <c r="I328" s="79">
        <v>180.61968962</v>
      </c>
      <c r="J328" s="79">
        <v>181.60512297</v>
      </c>
      <c r="K328" s="79">
        <v>196.26256744</v>
      </c>
      <c r="L328" s="79">
        <v>193.24444145000001</v>
      </c>
      <c r="M328" s="79">
        <v>188.67334844999999</v>
      </c>
      <c r="N328" s="79">
        <v>183.93417851000001</v>
      </c>
      <c r="O328" s="79">
        <v>217.69918339</v>
      </c>
      <c r="P328" s="79">
        <v>204.22399272000001</v>
      </c>
      <c r="Q328" s="79">
        <v>190.08774682000001</v>
      </c>
      <c r="R328" s="79">
        <v>198.35104530000001</v>
      </c>
      <c r="S328" s="79">
        <v>247.92779661</v>
      </c>
      <c r="T328" s="79">
        <v>180.05593311999999</v>
      </c>
    </row>
    <row r="329" spans="1:20" x14ac:dyDescent="0.2">
      <c r="A329" s="11">
        <v>328</v>
      </c>
      <c r="B329" s="11">
        <v>3</v>
      </c>
      <c r="C329" s="12" t="s">
        <v>625</v>
      </c>
      <c r="D329" s="13" t="s">
        <v>626</v>
      </c>
      <c r="E329" s="80">
        <v>0.1000360463</v>
      </c>
      <c r="F329" s="80">
        <v>0.1000420087</v>
      </c>
      <c r="G329" s="80">
        <v>0.1000227798</v>
      </c>
      <c r="H329" s="80">
        <v>0.1000045207</v>
      </c>
      <c r="I329" s="80">
        <v>0.1007649629</v>
      </c>
      <c r="J329" s="80">
        <v>0.1040291518</v>
      </c>
      <c r="K329" s="80">
        <v>0.1095252665</v>
      </c>
      <c r="L329" s="80">
        <v>0.117363062</v>
      </c>
      <c r="M329" s="80">
        <v>0.12656123389999999</v>
      </c>
      <c r="N329" s="80">
        <v>0.13594402310000001</v>
      </c>
      <c r="O329" s="80">
        <v>0.13890216259999999</v>
      </c>
      <c r="P329" s="80">
        <v>0.1451481057</v>
      </c>
      <c r="Q329" s="80">
        <v>1.2516164987</v>
      </c>
      <c r="R329" s="80">
        <v>0.68269933940000005</v>
      </c>
      <c r="S329" s="80">
        <v>0.20688512719999999</v>
      </c>
      <c r="T329" s="80">
        <v>0.154797766</v>
      </c>
    </row>
    <row r="330" spans="1:20" x14ac:dyDescent="0.2">
      <c r="A330" s="11">
        <v>329</v>
      </c>
      <c r="B330" s="11">
        <v>3</v>
      </c>
      <c r="C330" s="12" t="s">
        <v>627</v>
      </c>
      <c r="D330" s="13" t="s">
        <v>628</v>
      </c>
      <c r="E330" s="80">
        <v>106.93415559</v>
      </c>
      <c r="F330" s="80">
        <v>106.57055171</v>
      </c>
      <c r="G330" s="80">
        <v>112.61335009</v>
      </c>
      <c r="H330" s="80">
        <v>101.80694127</v>
      </c>
      <c r="I330" s="80">
        <v>86.726210752</v>
      </c>
      <c r="J330" s="80">
        <v>91.735319684000004</v>
      </c>
      <c r="K330" s="80">
        <v>93.080279242000003</v>
      </c>
      <c r="L330" s="80">
        <v>91.728247233000005</v>
      </c>
      <c r="M330" s="80">
        <v>87.482978641000003</v>
      </c>
      <c r="N330" s="80">
        <v>79.474524790999993</v>
      </c>
      <c r="O330" s="80">
        <v>101.42508909</v>
      </c>
      <c r="P330" s="80">
        <v>90.186529230000005</v>
      </c>
      <c r="Q330" s="80">
        <v>96.760504738999998</v>
      </c>
      <c r="R330" s="80">
        <v>87.158412945999999</v>
      </c>
      <c r="S330" s="80">
        <v>113.75873626000001</v>
      </c>
      <c r="T330" s="80">
        <v>85.275761490999997</v>
      </c>
    </row>
    <row r="331" spans="1:20" x14ac:dyDescent="0.2">
      <c r="A331" s="11">
        <v>330</v>
      </c>
      <c r="B331" s="11">
        <v>3</v>
      </c>
      <c r="C331" s="12" t="s">
        <v>629</v>
      </c>
      <c r="D331" s="13" t="s">
        <v>630</v>
      </c>
      <c r="E331" s="80">
        <v>36.173666967999999</v>
      </c>
      <c r="F331" s="80">
        <v>30.903413658000002</v>
      </c>
      <c r="G331" s="80">
        <v>40.765051249000003</v>
      </c>
      <c r="H331" s="80">
        <v>34.450977004000002</v>
      </c>
      <c r="I331" s="80">
        <v>34.184641919999997</v>
      </c>
      <c r="J331" s="80">
        <v>38.985896777999997</v>
      </c>
      <c r="K331" s="80">
        <v>42.985282754000004</v>
      </c>
      <c r="L331" s="80">
        <v>40.806969877999997</v>
      </c>
      <c r="M331" s="80">
        <v>44.508816160999999</v>
      </c>
      <c r="N331" s="80">
        <v>38.591351216</v>
      </c>
      <c r="O331" s="80">
        <v>48.166797612000003</v>
      </c>
      <c r="P331" s="80">
        <v>38.031559616000003</v>
      </c>
      <c r="Q331" s="80">
        <v>39.762338237999998</v>
      </c>
      <c r="R331" s="80">
        <v>43.074014474999998</v>
      </c>
      <c r="S331" s="80">
        <v>51.198439393999998</v>
      </c>
      <c r="T331" s="80">
        <v>34.430732992999999</v>
      </c>
    </row>
    <row r="332" spans="1:20" x14ac:dyDescent="0.2">
      <c r="A332" s="11">
        <v>331</v>
      </c>
      <c r="B332" s="11">
        <v>3</v>
      </c>
      <c r="C332" s="12" t="s">
        <v>631</v>
      </c>
      <c r="D332" s="13" t="s">
        <v>632</v>
      </c>
      <c r="E332" s="80">
        <v>43.300655552000002</v>
      </c>
      <c r="F332" s="80">
        <v>41.701217536999998</v>
      </c>
      <c r="G332" s="80">
        <v>43.283032951999999</v>
      </c>
      <c r="H332" s="80">
        <v>49.894757575</v>
      </c>
      <c r="I332" s="80">
        <v>60.138324128000001</v>
      </c>
      <c r="J332" s="80">
        <v>51.640019060999997</v>
      </c>
      <c r="K332" s="80">
        <v>60.496403221000001</v>
      </c>
      <c r="L332" s="80">
        <v>60.825709940000003</v>
      </c>
      <c r="M332" s="80">
        <v>56.099240815999998</v>
      </c>
      <c r="N332" s="80">
        <v>64.375636896000003</v>
      </c>
      <c r="O332" s="80">
        <v>65.674774525000004</v>
      </c>
      <c r="P332" s="80">
        <v>72.991061637000001</v>
      </c>
      <c r="Q332" s="80">
        <v>48.808357770999997</v>
      </c>
      <c r="R332" s="80">
        <v>63.442621312999997</v>
      </c>
      <c r="S332" s="80">
        <v>77.270910795999995</v>
      </c>
      <c r="T332" s="80">
        <v>56.031044913000002</v>
      </c>
    </row>
    <row r="333" spans="1:20" x14ac:dyDescent="0.2">
      <c r="A333" s="8">
        <v>332</v>
      </c>
      <c r="B333" s="8">
        <v>2</v>
      </c>
      <c r="C333" s="9" t="s">
        <v>633</v>
      </c>
      <c r="D333" s="10" t="s">
        <v>634</v>
      </c>
      <c r="E333" s="79">
        <v>166.71762878000001</v>
      </c>
      <c r="F333" s="79">
        <v>167.2112636</v>
      </c>
      <c r="G333" s="79">
        <v>158.82511135999999</v>
      </c>
      <c r="H333" s="79">
        <v>158.94271412000001</v>
      </c>
      <c r="I333" s="79">
        <v>167.97790739999999</v>
      </c>
      <c r="J333" s="79">
        <v>189.42815694000001</v>
      </c>
      <c r="K333" s="79">
        <v>198.98517666999999</v>
      </c>
      <c r="L333" s="79">
        <v>203.67633226000001</v>
      </c>
      <c r="M333" s="79">
        <v>202.52258280999999</v>
      </c>
      <c r="N333" s="79">
        <v>211.29915371000001</v>
      </c>
      <c r="O333" s="79">
        <v>194.61414052999999</v>
      </c>
      <c r="P333" s="79">
        <v>209.68269053</v>
      </c>
      <c r="Q333" s="79">
        <v>204.84285761000001</v>
      </c>
      <c r="R333" s="79">
        <v>219.69550106</v>
      </c>
      <c r="S333" s="79">
        <v>216.55524722999999</v>
      </c>
      <c r="T333" s="79">
        <v>209.87792965</v>
      </c>
    </row>
    <row r="334" spans="1:20" x14ac:dyDescent="0.2">
      <c r="A334" s="11">
        <v>333</v>
      </c>
      <c r="B334" s="11">
        <v>3</v>
      </c>
      <c r="C334" s="12" t="s">
        <v>635</v>
      </c>
      <c r="D334" s="13" t="s">
        <v>636</v>
      </c>
      <c r="E334" s="80">
        <v>9.9966583100000006E-2</v>
      </c>
      <c r="F334" s="80">
        <v>9.9961811400000003E-2</v>
      </c>
      <c r="G334" s="80">
        <v>9.9957744700000004E-2</v>
      </c>
      <c r="H334" s="80">
        <v>9.9956087400000004E-2</v>
      </c>
      <c r="I334" s="80">
        <v>9.9962066599999996E-2</v>
      </c>
      <c r="J334" s="80">
        <v>9.9970730399999999E-2</v>
      </c>
      <c r="K334" s="80">
        <v>9.9913410199999997E-2</v>
      </c>
      <c r="L334" s="80">
        <v>0.1000274495</v>
      </c>
      <c r="M334" s="80">
        <v>0.1003114583</v>
      </c>
      <c r="N334" s="80">
        <v>0.1016018774</v>
      </c>
      <c r="O334" s="80">
        <v>0.10324673130000001</v>
      </c>
      <c r="P334" s="80">
        <v>0.1075817115</v>
      </c>
      <c r="Q334" s="80">
        <v>9.3445732500000003E-2</v>
      </c>
      <c r="R334" s="80">
        <v>0.1213597174</v>
      </c>
      <c r="S334" s="80">
        <v>0.12704906260000001</v>
      </c>
      <c r="T334" s="80">
        <v>0.13015638199999999</v>
      </c>
    </row>
    <row r="335" spans="1:20" x14ac:dyDescent="0.2">
      <c r="A335" s="11">
        <v>334</v>
      </c>
      <c r="B335" s="11">
        <v>3</v>
      </c>
      <c r="C335" s="12" t="s">
        <v>637</v>
      </c>
      <c r="D335" s="13" t="s">
        <v>638</v>
      </c>
      <c r="E335" s="80">
        <v>161.18077953</v>
      </c>
      <c r="F335" s="80">
        <v>161.03098858999999</v>
      </c>
      <c r="G335" s="80">
        <v>150.39471952</v>
      </c>
      <c r="H335" s="80">
        <v>152.71904726</v>
      </c>
      <c r="I335" s="80">
        <v>157.72402084000001</v>
      </c>
      <c r="J335" s="80">
        <v>177.41453984</v>
      </c>
      <c r="K335" s="80">
        <v>188.37279832999999</v>
      </c>
      <c r="L335" s="80">
        <v>190.88044855999999</v>
      </c>
      <c r="M335" s="80">
        <v>190.97848535</v>
      </c>
      <c r="N335" s="80">
        <v>203.04097612000001</v>
      </c>
      <c r="O335" s="80">
        <v>179.60519076</v>
      </c>
      <c r="P335" s="80">
        <v>195.30570584</v>
      </c>
      <c r="Q335" s="80">
        <v>186.88959955000001</v>
      </c>
      <c r="R335" s="80">
        <v>208.37678789</v>
      </c>
      <c r="S335" s="80">
        <v>202.7432651</v>
      </c>
      <c r="T335" s="80">
        <v>200.84629688999999</v>
      </c>
    </row>
    <row r="336" spans="1:20" x14ac:dyDescent="0.2">
      <c r="A336" s="11">
        <v>335</v>
      </c>
      <c r="B336" s="11">
        <v>3</v>
      </c>
      <c r="C336" s="12" t="s">
        <v>639</v>
      </c>
      <c r="D336" s="13" t="s">
        <v>640</v>
      </c>
      <c r="E336" s="80">
        <v>5.4306629216999998</v>
      </c>
      <c r="F336" s="80">
        <v>6.0003641906</v>
      </c>
      <c r="G336" s="80">
        <v>8.2440463544</v>
      </c>
      <c r="H336" s="80">
        <v>5.8453225083999998</v>
      </c>
      <c r="I336" s="80">
        <v>10.01189273</v>
      </c>
      <c r="J336" s="80">
        <v>11.843813067999999</v>
      </c>
      <c r="K336" s="80">
        <v>10.443627226</v>
      </c>
      <c r="L336" s="80">
        <v>12.753580293000001</v>
      </c>
      <c r="M336" s="80">
        <v>11.39522743</v>
      </c>
      <c r="N336" s="80">
        <v>7.7116532984999999</v>
      </c>
      <c r="O336" s="80">
        <v>15.397877798</v>
      </c>
      <c r="P336" s="80">
        <v>14.808751393</v>
      </c>
      <c r="Q336" s="80">
        <v>18.692223409</v>
      </c>
      <c r="R336" s="80">
        <v>11.864450401999999</v>
      </c>
      <c r="S336" s="80">
        <v>14.320127765000001</v>
      </c>
      <c r="T336" s="80">
        <v>9.3849603114000004</v>
      </c>
    </row>
    <row r="337" spans="1:20" x14ac:dyDescent="0.2">
      <c r="A337" s="8">
        <v>336</v>
      </c>
      <c r="B337" s="8">
        <v>2</v>
      </c>
      <c r="C337" s="9" t="s">
        <v>641</v>
      </c>
      <c r="D337" s="10" t="s">
        <v>642</v>
      </c>
      <c r="E337" s="79">
        <v>8.8090050500000003E-2</v>
      </c>
      <c r="F337" s="79">
        <v>8.4476675500000001E-2</v>
      </c>
      <c r="G337" s="79">
        <v>0.29195051220000001</v>
      </c>
      <c r="H337" s="79">
        <v>8.3157983399999996E-2</v>
      </c>
      <c r="I337" s="79">
        <v>8.6048311799999999E-2</v>
      </c>
      <c r="J337" s="79">
        <v>9.1817146500000002E-2</v>
      </c>
      <c r="K337" s="79">
        <v>9.8262554200000005E-2</v>
      </c>
      <c r="L337" s="79">
        <v>0.1031497604</v>
      </c>
      <c r="M337" s="79">
        <v>0.1249915541</v>
      </c>
      <c r="N337" s="79">
        <v>0.1058892216</v>
      </c>
      <c r="O337" s="79">
        <v>0.104765961</v>
      </c>
      <c r="P337" s="79">
        <v>0.1032182636</v>
      </c>
      <c r="Q337" s="79">
        <v>0.10173558520000001</v>
      </c>
      <c r="R337" s="79">
        <v>0.1015589112</v>
      </c>
      <c r="S337" s="79">
        <v>0.1015095867</v>
      </c>
      <c r="T337" s="79">
        <v>0.10147891169999999</v>
      </c>
    </row>
    <row r="338" spans="1:20" x14ac:dyDescent="0.2">
      <c r="A338" s="11">
        <v>337</v>
      </c>
      <c r="B338" s="11">
        <v>3</v>
      </c>
      <c r="C338" s="12" t="s">
        <v>643</v>
      </c>
      <c r="D338" s="13" t="s">
        <v>642</v>
      </c>
      <c r="E338" s="80">
        <v>8.8090050500000003E-2</v>
      </c>
      <c r="F338" s="80">
        <v>8.4476675500000001E-2</v>
      </c>
      <c r="G338" s="80">
        <v>0.29195051220000001</v>
      </c>
      <c r="H338" s="80">
        <v>8.3157983399999996E-2</v>
      </c>
      <c r="I338" s="80">
        <v>8.6048311799999999E-2</v>
      </c>
      <c r="J338" s="80">
        <v>9.1817146500000002E-2</v>
      </c>
      <c r="K338" s="80">
        <v>9.8262554200000005E-2</v>
      </c>
      <c r="L338" s="80">
        <v>0.1031497604</v>
      </c>
      <c r="M338" s="80">
        <v>0.1249915541</v>
      </c>
      <c r="N338" s="80">
        <v>0.1058892216</v>
      </c>
      <c r="O338" s="80">
        <v>0.104765961</v>
      </c>
      <c r="P338" s="80">
        <v>0.1032182636</v>
      </c>
      <c r="Q338" s="80">
        <v>0.10173558520000001</v>
      </c>
      <c r="R338" s="80">
        <v>0.1015589112</v>
      </c>
      <c r="S338" s="80">
        <v>0.1015095867</v>
      </c>
      <c r="T338" s="80">
        <v>0.10147891169999999</v>
      </c>
    </row>
    <row r="339" spans="1:20" ht="15" x14ac:dyDescent="0.25">
      <c r="A339" s="4">
        <v>338</v>
      </c>
      <c r="B339" s="4">
        <v>1</v>
      </c>
      <c r="C339" s="5" t="s">
        <v>644</v>
      </c>
      <c r="D339" s="6" t="s">
        <v>645</v>
      </c>
      <c r="E339" s="78">
        <v>611.82019960000002</v>
      </c>
      <c r="F339" s="78">
        <v>624.00275859999999</v>
      </c>
      <c r="G339" s="78">
        <v>642.65119679999998</v>
      </c>
      <c r="H339" s="78">
        <v>626.20015760000001</v>
      </c>
      <c r="I339" s="78">
        <v>692.73480129999996</v>
      </c>
      <c r="J339" s="78">
        <v>694.44384700000001</v>
      </c>
      <c r="K339" s="78">
        <v>713.24014099999999</v>
      </c>
      <c r="L339" s="78">
        <v>705.49794510000004</v>
      </c>
      <c r="M339" s="78">
        <v>733.89373620000003</v>
      </c>
      <c r="N339" s="78">
        <v>730.21266479999997</v>
      </c>
      <c r="O339" s="78">
        <v>739.04022459999999</v>
      </c>
      <c r="P339" s="78">
        <v>763.79271559999995</v>
      </c>
      <c r="Q339" s="78">
        <v>763.94248660000005</v>
      </c>
      <c r="R339" s="78">
        <v>786.69258500000001</v>
      </c>
      <c r="S339" s="78">
        <v>834.32817230000001</v>
      </c>
      <c r="T339" s="78">
        <v>849.41691309999999</v>
      </c>
    </row>
    <row r="340" spans="1:20" x14ac:dyDescent="0.2">
      <c r="A340" s="8">
        <v>339</v>
      </c>
      <c r="B340" s="8">
        <v>2</v>
      </c>
      <c r="C340" s="9" t="s">
        <v>646</v>
      </c>
      <c r="D340" s="10" t="s">
        <v>647</v>
      </c>
      <c r="E340" s="79">
        <v>414.82548883999999</v>
      </c>
      <c r="F340" s="79">
        <v>433.03878775999999</v>
      </c>
      <c r="G340" s="79">
        <v>445.01319023999997</v>
      </c>
      <c r="H340" s="79">
        <v>440.09824546999999</v>
      </c>
      <c r="I340" s="79">
        <v>469.74429120000002</v>
      </c>
      <c r="J340" s="79">
        <v>490.68253718</v>
      </c>
      <c r="K340" s="79">
        <v>483.95216600999998</v>
      </c>
      <c r="L340" s="79">
        <v>488.69641883999998</v>
      </c>
      <c r="M340" s="79">
        <v>494.82286715999999</v>
      </c>
      <c r="N340" s="79">
        <v>502.73840464</v>
      </c>
      <c r="O340" s="79">
        <v>520.03017682999996</v>
      </c>
      <c r="P340" s="79">
        <v>539.82354376000001</v>
      </c>
      <c r="Q340" s="79">
        <v>529.26802324000005</v>
      </c>
      <c r="R340" s="79">
        <v>548.54003179999995</v>
      </c>
      <c r="S340" s="79">
        <v>604.45592614999998</v>
      </c>
      <c r="T340" s="79">
        <v>605.77855916999999</v>
      </c>
    </row>
    <row r="341" spans="1:20" x14ac:dyDescent="0.2">
      <c r="A341" s="11">
        <v>340</v>
      </c>
      <c r="B341" s="11">
        <v>3</v>
      </c>
      <c r="C341" s="12" t="s">
        <v>648</v>
      </c>
      <c r="D341" s="13" t="s">
        <v>649</v>
      </c>
      <c r="E341" s="80">
        <v>0.39604147379999999</v>
      </c>
      <c r="F341" s="80">
        <v>0.13980901779999999</v>
      </c>
      <c r="G341" s="80">
        <v>0.17070227630000001</v>
      </c>
      <c r="H341" s="80">
        <v>0.14785721639999999</v>
      </c>
      <c r="I341" s="80">
        <v>11.324389037</v>
      </c>
      <c r="J341" s="80">
        <v>9.7055185891000004</v>
      </c>
      <c r="K341" s="80">
        <v>7.9920235609999999</v>
      </c>
      <c r="L341" s="80">
        <v>7.9340582318999999</v>
      </c>
      <c r="M341" s="80">
        <v>23.075405588999999</v>
      </c>
      <c r="N341" s="80">
        <v>12.928381006</v>
      </c>
      <c r="O341" s="80">
        <v>15.531893137999999</v>
      </c>
      <c r="P341" s="80">
        <v>10.140605951</v>
      </c>
      <c r="Q341" s="80">
        <v>26.246820709000001</v>
      </c>
      <c r="R341" s="80">
        <v>13.632346254</v>
      </c>
      <c r="S341" s="80">
        <v>3.9905631182999999</v>
      </c>
      <c r="T341" s="80">
        <v>12.056303445999999</v>
      </c>
    </row>
    <row r="342" spans="1:20" x14ac:dyDescent="0.2">
      <c r="A342" s="11">
        <v>341</v>
      </c>
      <c r="B342" s="11">
        <v>3</v>
      </c>
      <c r="C342" s="12" t="s">
        <v>650</v>
      </c>
      <c r="D342" s="13" t="s">
        <v>651</v>
      </c>
      <c r="E342" s="80">
        <v>165.22101180000001</v>
      </c>
      <c r="F342" s="80">
        <v>171.63215736000001</v>
      </c>
      <c r="G342" s="80">
        <v>134.84883651000001</v>
      </c>
      <c r="H342" s="80">
        <v>143.16501962999999</v>
      </c>
      <c r="I342" s="80">
        <v>137.53621834</v>
      </c>
      <c r="J342" s="80">
        <v>124.33709183000001</v>
      </c>
      <c r="K342" s="80">
        <v>136.51105190000001</v>
      </c>
      <c r="L342" s="80">
        <v>135.91426573999999</v>
      </c>
      <c r="M342" s="80">
        <v>134.12769607000001</v>
      </c>
      <c r="N342" s="80">
        <v>105.59990105</v>
      </c>
      <c r="O342" s="80">
        <v>135.69966454999999</v>
      </c>
      <c r="P342" s="80">
        <v>139.22459049</v>
      </c>
      <c r="Q342" s="80">
        <v>134.558515</v>
      </c>
      <c r="R342" s="80">
        <v>132.66607063000001</v>
      </c>
      <c r="S342" s="80">
        <v>159.82673249999999</v>
      </c>
      <c r="T342" s="80">
        <v>152.55999367999999</v>
      </c>
    </row>
    <row r="343" spans="1:20" x14ac:dyDescent="0.2">
      <c r="A343" s="11">
        <v>342</v>
      </c>
      <c r="B343" s="11">
        <v>3</v>
      </c>
      <c r="C343" s="12" t="s">
        <v>652</v>
      </c>
      <c r="D343" s="13" t="s">
        <v>653</v>
      </c>
      <c r="E343" s="80">
        <v>140.10897295999999</v>
      </c>
      <c r="F343" s="80">
        <v>145.25815091999999</v>
      </c>
      <c r="G343" s="80">
        <v>162.47467460999999</v>
      </c>
      <c r="H343" s="80">
        <v>153.61652978000001</v>
      </c>
      <c r="I343" s="80">
        <v>184.08103711000001</v>
      </c>
      <c r="J343" s="80">
        <v>206.47022262999999</v>
      </c>
      <c r="K343" s="80">
        <v>193.58243481</v>
      </c>
      <c r="L343" s="80">
        <v>193.12865285000001</v>
      </c>
      <c r="M343" s="80">
        <v>190.10985661000001</v>
      </c>
      <c r="N343" s="80">
        <v>236.87028842999999</v>
      </c>
      <c r="O343" s="80">
        <v>209.59776192000001</v>
      </c>
      <c r="P343" s="80">
        <v>231.11503823999999</v>
      </c>
      <c r="Q343" s="80">
        <v>216.05468428</v>
      </c>
      <c r="R343" s="80">
        <v>234.89148398</v>
      </c>
      <c r="S343" s="80">
        <v>279.09322435000001</v>
      </c>
      <c r="T343" s="80">
        <v>280.42239007000001</v>
      </c>
    </row>
    <row r="344" spans="1:20" x14ac:dyDescent="0.2">
      <c r="A344" s="11">
        <v>343</v>
      </c>
      <c r="B344" s="11">
        <v>3</v>
      </c>
      <c r="C344" s="12" t="s">
        <v>654</v>
      </c>
      <c r="D344" s="13" t="s">
        <v>655</v>
      </c>
      <c r="E344" s="80">
        <v>95.976989924999998</v>
      </c>
      <c r="F344" s="80">
        <v>99.323674150000002</v>
      </c>
      <c r="G344" s="80">
        <v>131.48294759999999</v>
      </c>
      <c r="H344" s="80">
        <v>121.41008737</v>
      </c>
      <c r="I344" s="80">
        <v>120.35799598</v>
      </c>
      <c r="J344" s="80">
        <v>128.21918416</v>
      </c>
      <c r="K344" s="80">
        <v>120.72448658</v>
      </c>
      <c r="L344" s="80">
        <v>126.21929288</v>
      </c>
      <c r="M344" s="80">
        <v>125.96616208</v>
      </c>
      <c r="N344" s="80">
        <v>128.49604113999999</v>
      </c>
      <c r="O344" s="80">
        <v>137.72597472999999</v>
      </c>
      <c r="P344" s="80">
        <v>138.36483593</v>
      </c>
      <c r="Q344" s="80">
        <v>133.30929015999999</v>
      </c>
      <c r="R344" s="80">
        <v>142.02224580999999</v>
      </c>
      <c r="S344" s="80">
        <v>137.21097298000001</v>
      </c>
      <c r="T344" s="80">
        <v>139.76836542000001</v>
      </c>
    </row>
    <row r="345" spans="1:20" x14ac:dyDescent="0.2">
      <c r="A345" s="11">
        <v>344</v>
      </c>
      <c r="B345" s="11">
        <v>3</v>
      </c>
      <c r="C345" s="12" t="s">
        <v>656</v>
      </c>
      <c r="D345" s="13" t="s">
        <v>657</v>
      </c>
      <c r="E345" s="80">
        <v>13.116870841000001</v>
      </c>
      <c r="F345" s="80">
        <v>17.213385347999999</v>
      </c>
      <c r="G345" s="80">
        <v>15.7489408</v>
      </c>
      <c r="H345" s="80">
        <v>19.136519668999998</v>
      </c>
      <c r="I345" s="80">
        <v>16.480184145999999</v>
      </c>
      <c r="J345" s="80">
        <v>19.11899816</v>
      </c>
      <c r="K345" s="80">
        <v>21.540246345</v>
      </c>
      <c r="L345" s="80">
        <v>21.634120003</v>
      </c>
      <c r="M345" s="80">
        <v>17.829934210000001</v>
      </c>
      <c r="N345" s="80">
        <v>18.389410978000001</v>
      </c>
      <c r="O345" s="80">
        <v>19.232896527000001</v>
      </c>
      <c r="P345" s="80">
        <v>18.550524034999999</v>
      </c>
      <c r="Q345" s="80">
        <v>19.265383907</v>
      </c>
      <c r="R345" s="80">
        <v>25.105068622000001</v>
      </c>
      <c r="S345" s="80">
        <v>20.628742593999998</v>
      </c>
      <c r="T345" s="80">
        <v>17.651877806000002</v>
      </c>
    </row>
    <row r="346" spans="1:20" x14ac:dyDescent="0.2">
      <c r="A346" s="11">
        <v>345</v>
      </c>
      <c r="B346" s="11">
        <v>3</v>
      </c>
      <c r="C346" s="12" t="s">
        <v>658</v>
      </c>
      <c r="D346" s="13" t="s">
        <v>659</v>
      </c>
      <c r="E346" s="80">
        <v>1.6465503855000001</v>
      </c>
      <c r="F346" s="80">
        <v>0.84966033370000005</v>
      </c>
      <c r="G346" s="80">
        <v>0.88677166289999998</v>
      </c>
      <c r="H346" s="80">
        <v>1.3538411162999999</v>
      </c>
      <c r="I346" s="80">
        <v>0.26632961770000002</v>
      </c>
      <c r="J346" s="80">
        <v>1.3915265136999999</v>
      </c>
      <c r="K346" s="80">
        <v>1.6084315369</v>
      </c>
      <c r="L346" s="80">
        <v>2.5774368506999998</v>
      </c>
      <c r="M346" s="80">
        <v>0.53473494460000004</v>
      </c>
      <c r="N346" s="80">
        <v>0.38067695299999998</v>
      </c>
      <c r="O346" s="80">
        <v>1.6555383157000001</v>
      </c>
      <c r="P346" s="80">
        <v>1.8468987967999999</v>
      </c>
      <c r="Q346" s="80">
        <v>0.84390798929999999</v>
      </c>
      <c r="R346" s="80">
        <v>0.64325782600000003</v>
      </c>
      <c r="S346" s="80">
        <v>1.1687652457</v>
      </c>
      <c r="T346" s="80">
        <v>1.1753473126</v>
      </c>
    </row>
    <row r="347" spans="1:20" x14ac:dyDescent="0.2">
      <c r="A347" s="8">
        <v>346</v>
      </c>
      <c r="B347" s="8">
        <v>2</v>
      </c>
      <c r="C347" s="9" t="s">
        <v>660</v>
      </c>
      <c r="D347" s="10" t="s">
        <v>661</v>
      </c>
      <c r="E347" s="79">
        <v>29.007303967999999</v>
      </c>
      <c r="F347" s="79">
        <v>27.956448694999999</v>
      </c>
      <c r="G347" s="79">
        <v>26.202799850000002</v>
      </c>
      <c r="H347" s="79">
        <v>27.921869125000001</v>
      </c>
      <c r="I347" s="79">
        <v>26.117470576999999</v>
      </c>
      <c r="J347" s="79">
        <v>30.291450846</v>
      </c>
      <c r="K347" s="79">
        <v>29.554712640000002</v>
      </c>
      <c r="L347" s="79">
        <v>34.511779128999997</v>
      </c>
      <c r="M347" s="79">
        <v>33.111899835000003</v>
      </c>
      <c r="N347" s="79">
        <v>26.813944924000001</v>
      </c>
      <c r="O347" s="79">
        <v>27.737747923000001</v>
      </c>
      <c r="P347" s="79">
        <v>23.767054778999999</v>
      </c>
      <c r="Q347" s="79">
        <v>28.303840700999999</v>
      </c>
      <c r="R347" s="79">
        <v>33.181354118000002</v>
      </c>
      <c r="S347" s="79">
        <v>26.79202231</v>
      </c>
      <c r="T347" s="79">
        <v>33.548566852</v>
      </c>
    </row>
    <row r="348" spans="1:20" x14ac:dyDescent="0.2">
      <c r="A348" s="11">
        <v>347</v>
      </c>
      <c r="B348" s="11">
        <v>3</v>
      </c>
      <c r="C348" s="12" t="s">
        <v>662</v>
      </c>
      <c r="D348" s="13" t="s">
        <v>661</v>
      </c>
      <c r="E348" s="80">
        <v>29.007303967999999</v>
      </c>
      <c r="F348" s="80">
        <v>27.956448694999999</v>
      </c>
      <c r="G348" s="80">
        <v>26.202799850000002</v>
      </c>
      <c r="H348" s="80">
        <v>27.921869125000001</v>
      </c>
      <c r="I348" s="80">
        <v>26.117470576999999</v>
      </c>
      <c r="J348" s="80">
        <v>30.291450846</v>
      </c>
      <c r="K348" s="80">
        <v>29.554712640000002</v>
      </c>
      <c r="L348" s="80">
        <v>34.511779128999997</v>
      </c>
      <c r="M348" s="80">
        <v>33.111899835000003</v>
      </c>
      <c r="N348" s="80">
        <v>26.813944924000001</v>
      </c>
      <c r="O348" s="80">
        <v>27.737747923000001</v>
      </c>
      <c r="P348" s="80">
        <v>23.767054778999999</v>
      </c>
      <c r="Q348" s="80">
        <v>28.303840700999999</v>
      </c>
      <c r="R348" s="80">
        <v>33.181354118000002</v>
      </c>
      <c r="S348" s="80">
        <v>26.79202231</v>
      </c>
      <c r="T348" s="80">
        <v>33.548566852</v>
      </c>
    </row>
    <row r="349" spans="1:20" x14ac:dyDescent="0.2">
      <c r="A349" s="8">
        <v>348</v>
      </c>
      <c r="B349" s="8">
        <v>2</v>
      </c>
      <c r="C349" s="9" t="s">
        <v>663</v>
      </c>
      <c r="D349" s="10" t="s">
        <v>664</v>
      </c>
      <c r="E349" s="79">
        <v>167.86508759</v>
      </c>
      <c r="F349" s="79">
        <v>162.32333317000001</v>
      </c>
      <c r="G349" s="79">
        <v>170.99879773000001</v>
      </c>
      <c r="H349" s="79">
        <v>157.30339169000001</v>
      </c>
      <c r="I349" s="79">
        <v>196.2705924</v>
      </c>
      <c r="J349" s="79">
        <v>172.03321055000001</v>
      </c>
      <c r="K349" s="79">
        <v>196.5624723</v>
      </c>
      <c r="L349" s="79">
        <v>178.59199498000001</v>
      </c>
      <c r="M349" s="79">
        <v>203.10972604</v>
      </c>
      <c r="N349" s="79">
        <v>196.58735207999999</v>
      </c>
      <c r="O349" s="79">
        <v>188.34600843999999</v>
      </c>
      <c r="P349" s="79">
        <v>197.01370428000001</v>
      </c>
      <c r="Q349" s="79">
        <v>204.53280394000001</v>
      </c>
      <c r="R349" s="79">
        <v>202.61267543</v>
      </c>
      <c r="S349" s="79">
        <v>199.89773661999999</v>
      </c>
      <c r="T349" s="79">
        <v>207.07485362</v>
      </c>
    </row>
    <row r="350" spans="1:20" x14ac:dyDescent="0.2">
      <c r="A350" s="11">
        <v>349</v>
      </c>
      <c r="B350" s="11">
        <v>3</v>
      </c>
      <c r="C350" s="12" t="s">
        <v>665</v>
      </c>
      <c r="D350" s="13" t="s">
        <v>666</v>
      </c>
      <c r="E350" s="80">
        <v>0.10013369549999999</v>
      </c>
      <c r="F350" s="80">
        <v>0.10008534819999999</v>
      </c>
      <c r="G350" s="80">
        <v>0.101394465</v>
      </c>
      <c r="H350" s="80">
        <v>0.1024072483</v>
      </c>
      <c r="I350" s="80">
        <v>0.10507433250000001</v>
      </c>
      <c r="J350" s="80">
        <v>0.1061155005</v>
      </c>
      <c r="K350" s="80">
        <v>0.1092441889</v>
      </c>
      <c r="L350" s="80">
        <v>0.11030592509999999</v>
      </c>
      <c r="M350" s="80">
        <v>0.11292889909999999</v>
      </c>
      <c r="N350" s="80">
        <v>0.11553625989999999</v>
      </c>
      <c r="O350" s="80">
        <v>0.1236101048</v>
      </c>
      <c r="P350" s="80">
        <v>0.13465683740000001</v>
      </c>
      <c r="Q350" s="80">
        <v>0.1526049682</v>
      </c>
      <c r="R350" s="80">
        <v>0.2163419486</v>
      </c>
      <c r="S350" s="80">
        <v>0.19837505150000001</v>
      </c>
      <c r="T350" s="80">
        <v>0.21243992759999999</v>
      </c>
    </row>
    <row r="351" spans="1:20" x14ac:dyDescent="0.2">
      <c r="A351" s="11">
        <v>350</v>
      </c>
      <c r="B351" s="11">
        <v>3</v>
      </c>
      <c r="C351" s="12" t="s">
        <v>667</v>
      </c>
      <c r="D351" s="13" t="s">
        <v>668</v>
      </c>
      <c r="E351" s="80">
        <v>164.32046604999999</v>
      </c>
      <c r="F351" s="80">
        <v>158.67361276</v>
      </c>
      <c r="G351" s="80">
        <v>167.05588428999999</v>
      </c>
      <c r="H351" s="80">
        <v>153.68228328999999</v>
      </c>
      <c r="I351" s="80">
        <v>189.57495068</v>
      </c>
      <c r="J351" s="80">
        <v>167.81000413000001</v>
      </c>
      <c r="K351" s="80">
        <v>193.27518065999999</v>
      </c>
      <c r="L351" s="80">
        <v>175.38944114</v>
      </c>
      <c r="M351" s="80">
        <v>198.31318382000001</v>
      </c>
      <c r="N351" s="80">
        <v>190.01747963</v>
      </c>
      <c r="O351" s="80">
        <v>185.03919411000001</v>
      </c>
      <c r="P351" s="80">
        <v>190.91197059999999</v>
      </c>
      <c r="Q351" s="80">
        <v>197.28210801</v>
      </c>
      <c r="R351" s="80">
        <v>198.08175219</v>
      </c>
      <c r="S351" s="80">
        <v>194.33799162</v>
      </c>
      <c r="T351" s="80">
        <v>203.18678679000001</v>
      </c>
    </row>
    <row r="352" spans="1:20" x14ac:dyDescent="0.2">
      <c r="A352" s="11">
        <v>351</v>
      </c>
      <c r="B352" s="11">
        <v>3</v>
      </c>
      <c r="C352" s="12" t="s">
        <v>669</v>
      </c>
      <c r="D352" s="13" t="s">
        <v>670</v>
      </c>
      <c r="E352" s="80">
        <v>2.5332661948999999</v>
      </c>
      <c r="F352" s="80">
        <v>2.6404257864999998</v>
      </c>
      <c r="G352" s="80">
        <v>2.8175993748999999</v>
      </c>
      <c r="H352" s="80">
        <v>2.5865328331000002</v>
      </c>
      <c r="I352" s="80">
        <v>5.2107314103000002</v>
      </c>
      <c r="J352" s="80">
        <v>2.9108939426</v>
      </c>
      <c r="K352" s="80">
        <v>1.7894718454</v>
      </c>
      <c r="L352" s="80">
        <v>1.9202650448</v>
      </c>
      <c r="M352" s="80">
        <v>3.2593576785999998</v>
      </c>
      <c r="N352" s="80">
        <v>5.0348156469000003</v>
      </c>
      <c r="O352" s="80">
        <v>2.2518328897000002</v>
      </c>
      <c r="P352" s="80">
        <v>4.7519143413</v>
      </c>
      <c r="Q352" s="80">
        <v>5.8211401563000003</v>
      </c>
      <c r="R352" s="80">
        <v>3.023833615</v>
      </c>
      <c r="S352" s="80">
        <v>4.2707064923000004</v>
      </c>
      <c r="T352" s="80">
        <v>2.2732364192999999</v>
      </c>
    </row>
    <row r="353" spans="1:20" x14ac:dyDescent="0.2">
      <c r="A353" s="8">
        <v>352</v>
      </c>
      <c r="B353" s="8">
        <v>2</v>
      </c>
      <c r="C353" s="9" t="s">
        <v>671</v>
      </c>
      <c r="D353" s="10" t="s">
        <v>672</v>
      </c>
      <c r="E353" s="79">
        <v>9.3035948199999996E-2</v>
      </c>
      <c r="F353" s="79">
        <v>9.6548272899999996E-2</v>
      </c>
      <c r="G353" s="79">
        <v>0.1034241031</v>
      </c>
      <c r="H353" s="79">
        <v>0.1097890527</v>
      </c>
      <c r="I353" s="79">
        <v>0.1093773983</v>
      </c>
      <c r="J353" s="79">
        <v>0.1032170582</v>
      </c>
      <c r="K353" s="79">
        <v>0.92326423530000001</v>
      </c>
      <c r="L353" s="79">
        <v>0.41950626149999998</v>
      </c>
      <c r="M353" s="79">
        <v>8.1217060300000005E-2</v>
      </c>
      <c r="N353" s="79">
        <v>0.48865882350000001</v>
      </c>
      <c r="O353" s="79">
        <v>8.6045559399999999E-2</v>
      </c>
      <c r="P353" s="79">
        <v>9.2980572400000003E-2</v>
      </c>
      <c r="Q353" s="79">
        <v>9.5036871699999997E-2</v>
      </c>
      <c r="R353" s="79">
        <v>0.2224442831</v>
      </c>
      <c r="S353" s="79">
        <v>9.25990228E-2</v>
      </c>
      <c r="T353" s="79">
        <v>9.2135870999999994E-2</v>
      </c>
    </row>
    <row r="354" spans="1:20" x14ac:dyDescent="0.2">
      <c r="A354" s="11">
        <v>353</v>
      </c>
      <c r="B354" s="11">
        <v>3</v>
      </c>
      <c r="C354" s="12" t="s">
        <v>673</v>
      </c>
      <c r="D354" s="13" t="s">
        <v>672</v>
      </c>
      <c r="E354" s="80">
        <v>9.3035948199999996E-2</v>
      </c>
      <c r="F354" s="80">
        <v>9.6548272899999996E-2</v>
      </c>
      <c r="G354" s="80">
        <v>0.1034241031</v>
      </c>
      <c r="H354" s="80">
        <v>0.1097890527</v>
      </c>
      <c r="I354" s="80">
        <v>0.1093773983</v>
      </c>
      <c r="J354" s="80">
        <v>0.1032170582</v>
      </c>
      <c r="K354" s="80">
        <v>0.92326423530000001</v>
      </c>
      <c r="L354" s="80">
        <v>0.41950626149999998</v>
      </c>
      <c r="M354" s="80">
        <v>8.1217060300000005E-2</v>
      </c>
      <c r="N354" s="80">
        <v>0.48865882350000001</v>
      </c>
      <c r="O354" s="80">
        <v>8.6045559399999999E-2</v>
      </c>
      <c r="P354" s="80">
        <v>9.2980572400000003E-2</v>
      </c>
      <c r="Q354" s="80">
        <v>9.5036871699999997E-2</v>
      </c>
      <c r="R354" s="80">
        <v>0.2224442831</v>
      </c>
      <c r="S354" s="80">
        <v>9.25990228E-2</v>
      </c>
      <c r="T354" s="80">
        <v>9.2135870999999994E-2</v>
      </c>
    </row>
    <row r="355" spans="1:20" ht="15" x14ac:dyDescent="0.25">
      <c r="A355" s="4">
        <v>354</v>
      </c>
      <c r="B355" s="4">
        <v>1</v>
      </c>
      <c r="C355" s="5" t="s">
        <v>674</v>
      </c>
      <c r="D355" s="6" t="s">
        <v>675</v>
      </c>
      <c r="E355" s="78">
        <v>705.41688020000004</v>
      </c>
      <c r="F355" s="78">
        <v>733.46885870000006</v>
      </c>
      <c r="G355" s="78">
        <v>765.49045379999995</v>
      </c>
      <c r="H355" s="78">
        <v>810.38195450000001</v>
      </c>
      <c r="I355" s="78">
        <v>798.01838569999995</v>
      </c>
      <c r="J355" s="78">
        <v>815.80000419999999</v>
      </c>
      <c r="K355" s="78">
        <v>852.24314000000004</v>
      </c>
      <c r="L355" s="78">
        <v>878.18449669999995</v>
      </c>
      <c r="M355" s="78">
        <v>898.73513649999995</v>
      </c>
      <c r="N355" s="78">
        <v>907.9181059</v>
      </c>
      <c r="O355" s="78">
        <v>925.33381810000003</v>
      </c>
      <c r="P355" s="78">
        <v>940.79534460000002</v>
      </c>
      <c r="Q355" s="78">
        <v>998.9954434</v>
      </c>
      <c r="R355" s="78">
        <v>1004.9995484999999</v>
      </c>
      <c r="S355" s="78">
        <v>1068.4953141000001</v>
      </c>
      <c r="T355" s="78">
        <v>1033.1572372999999</v>
      </c>
    </row>
    <row r="356" spans="1:20" x14ac:dyDescent="0.2">
      <c r="A356" s="8">
        <v>355</v>
      </c>
      <c r="B356" s="8">
        <v>2</v>
      </c>
      <c r="C356" s="9" t="s">
        <v>676</v>
      </c>
      <c r="D356" s="10" t="s">
        <v>677</v>
      </c>
      <c r="E356" s="79">
        <v>434.05347024999998</v>
      </c>
      <c r="F356" s="79">
        <v>453.70840831999999</v>
      </c>
      <c r="G356" s="79">
        <v>485.17743338000002</v>
      </c>
      <c r="H356" s="79">
        <v>492.2561073</v>
      </c>
      <c r="I356" s="79">
        <v>449.47736526</v>
      </c>
      <c r="J356" s="79">
        <v>473.81948556999998</v>
      </c>
      <c r="K356" s="79">
        <v>486.68914744</v>
      </c>
      <c r="L356" s="79">
        <v>498.42940066</v>
      </c>
      <c r="M356" s="79">
        <v>487.69016381</v>
      </c>
      <c r="N356" s="79">
        <v>520.0066544</v>
      </c>
      <c r="O356" s="79">
        <v>515.10676959</v>
      </c>
      <c r="P356" s="79">
        <v>501.69071269</v>
      </c>
      <c r="Q356" s="79">
        <v>555.98734351999997</v>
      </c>
      <c r="R356" s="79">
        <v>589.56561096999997</v>
      </c>
      <c r="S356" s="79">
        <v>628.12997695000001</v>
      </c>
      <c r="T356" s="79">
        <v>581.28085578000002</v>
      </c>
    </row>
    <row r="357" spans="1:20" x14ac:dyDescent="0.2">
      <c r="A357" s="11">
        <v>356</v>
      </c>
      <c r="B357" s="11">
        <v>3</v>
      </c>
      <c r="C357" s="12" t="s">
        <v>678</v>
      </c>
      <c r="D357" s="13" t="s">
        <v>679</v>
      </c>
      <c r="E357" s="80">
        <v>9.6840202799999997E-2</v>
      </c>
      <c r="F357" s="80">
        <v>9.6290617999999994E-2</v>
      </c>
      <c r="G357" s="80">
        <v>9.5822397399999995E-2</v>
      </c>
      <c r="H357" s="80">
        <v>9.5527238599999995E-2</v>
      </c>
      <c r="I357" s="80">
        <v>9.5816791200000001E-2</v>
      </c>
      <c r="J357" s="80">
        <v>9.7427618600000002E-2</v>
      </c>
      <c r="K357" s="80">
        <v>0.10081286439999999</v>
      </c>
      <c r="L357" s="80">
        <v>0.1053566125</v>
      </c>
      <c r="M357" s="80">
        <v>0.1075960385</v>
      </c>
      <c r="N357" s="80">
        <v>0.106751444</v>
      </c>
      <c r="O357" s="80">
        <v>0.1025747068</v>
      </c>
      <c r="P357" s="80">
        <v>0.10118329769999999</v>
      </c>
      <c r="Q357" s="80">
        <v>0.63943656459999998</v>
      </c>
      <c r="R357" s="80">
        <v>0.1092607137</v>
      </c>
      <c r="S357" s="80">
        <v>0.1183786817</v>
      </c>
      <c r="T357" s="80">
        <v>0.127287025</v>
      </c>
    </row>
    <row r="358" spans="1:20" x14ac:dyDescent="0.2">
      <c r="A358" s="11">
        <v>357</v>
      </c>
      <c r="B358" s="11">
        <v>3</v>
      </c>
      <c r="C358" s="12" t="s">
        <v>680</v>
      </c>
      <c r="D358" s="13" t="s">
        <v>681</v>
      </c>
      <c r="E358" s="80">
        <v>22.522543006999999</v>
      </c>
      <c r="F358" s="80">
        <v>22.014861802999999</v>
      </c>
      <c r="G358" s="80">
        <v>24.932670552000001</v>
      </c>
      <c r="H358" s="80">
        <v>29.175183191999999</v>
      </c>
      <c r="I358" s="80">
        <v>23.491639433</v>
      </c>
      <c r="J358" s="80">
        <v>27.029358705</v>
      </c>
      <c r="K358" s="80">
        <v>28.392005310999998</v>
      </c>
      <c r="L358" s="80">
        <v>42.207915370999999</v>
      </c>
      <c r="M358" s="80">
        <v>39.087447294</v>
      </c>
      <c r="N358" s="80">
        <v>37.151008386000001</v>
      </c>
      <c r="O358" s="80">
        <v>45.694732766000001</v>
      </c>
      <c r="P358" s="80">
        <v>51.692964889000002</v>
      </c>
      <c r="Q358" s="80">
        <v>62.766950401999999</v>
      </c>
      <c r="R358" s="80">
        <v>54.365597706999999</v>
      </c>
      <c r="S358" s="80">
        <v>65.290480231999993</v>
      </c>
      <c r="T358" s="80">
        <v>61.779996576999999</v>
      </c>
    </row>
    <row r="359" spans="1:20" x14ac:dyDescent="0.2">
      <c r="A359" s="11">
        <v>358</v>
      </c>
      <c r="B359" s="11">
        <v>3</v>
      </c>
      <c r="C359" s="12" t="s">
        <v>682</v>
      </c>
      <c r="D359" s="13" t="s">
        <v>683</v>
      </c>
      <c r="E359" s="80">
        <v>411.74631543999999</v>
      </c>
      <c r="F359" s="80">
        <v>431.91395856000003</v>
      </c>
      <c r="G359" s="80">
        <v>460.80776466999998</v>
      </c>
      <c r="H359" s="80">
        <v>463.81813961</v>
      </c>
      <c r="I359" s="80">
        <v>427.14221821000001</v>
      </c>
      <c r="J359" s="80">
        <v>448.16644244000003</v>
      </c>
      <c r="K359" s="80">
        <v>459.91315528000001</v>
      </c>
      <c r="L359" s="80">
        <v>457.28352605999999</v>
      </c>
      <c r="M359" s="80">
        <v>450.17075593999999</v>
      </c>
      <c r="N359" s="80">
        <v>485.41297708000002</v>
      </c>
      <c r="O359" s="80">
        <v>472.56669328999999</v>
      </c>
      <c r="P359" s="80">
        <v>453.41366628999998</v>
      </c>
      <c r="Q359" s="80">
        <v>496.10537299999999</v>
      </c>
      <c r="R359" s="80">
        <v>538.89547508999999</v>
      </c>
      <c r="S359" s="80">
        <v>565.65107803000001</v>
      </c>
      <c r="T359" s="80">
        <v>521.60677232</v>
      </c>
    </row>
    <row r="360" spans="1:20" x14ac:dyDescent="0.2">
      <c r="A360" s="8">
        <v>359</v>
      </c>
      <c r="B360" s="8">
        <v>2</v>
      </c>
      <c r="C360" s="9" t="s">
        <v>684</v>
      </c>
      <c r="D360" s="10" t="s">
        <v>685</v>
      </c>
      <c r="E360" s="79">
        <v>208.5196349</v>
      </c>
      <c r="F360" s="79">
        <v>213.37671406000001</v>
      </c>
      <c r="G360" s="79">
        <v>207.89186113</v>
      </c>
      <c r="H360" s="79">
        <v>222.96177187999999</v>
      </c>
      <c r="I360" s="79">
        <v>230.23069287999999</v>
      </c>
      <c r="J360" s="79">
        <v>227.53528668999999</v>
      </c>
      <c r="K360" s="79">
        <v>234.52915970999999</v>
      </c>
      <c r="L360" s="79">
        <v>234.54426228</v>
      </c>
      <c r="M360" s="79">
        <v>246.41335158000001</v>
      </c>
      <c r="N360" s="79">
        <v>236.04968303999999</v>
      </c>
      <c r="O360" s="79">
        <v>234.79051487000001</v>
      </c>
      <c r="P360" s="79">
        <v>240.51218077999999</v>
      </c>
      <c r="Q360" s="79">
        <v>228.32448389000001</v>
      </c>
      <c r="R360" s="79">
        <v>227.11513930000001</v>
      </c>
      <c r="S360" s="79">
        <v>248.22513733</v>
      </c>
      <c r="T360" s="79">
        <v>281.34438396000002</v>
      </c>
    </row>
    <row r="361" spans="1:20" x14ac:dyDescent="0.2">
      <c r="A361" s="11">
        <v>360</v>
      </c>
      <c r="B361" s="11">
        <v>3</v>
      </c>
      <c r="C361" s="12" t="s">
        <v>686</v>
      </c>
      <c r="D361" s="13" t="s">
        <v>685</v>
      </c>
      <c r="E361" s="80">
        <v>208.5196349</v>
      </c>
      <c r="F361" s="80">
        <v>213.37671406000001</v>
      </c>
      <c r="G361" s="80">
        <v>207.89186113</v>
      </c>
      <c r="H361" s="80">
        <v>222.96177187999999</v>
      </c>
      <c r="I361" s="80">
        <v>230.23069287999999</v>
      </c>
      <c r="J361" s="80">
        <v>227.53528668999999</v>
      </c>
      <c r="K361" s="80">
        <v>234.52915970999999</v>
      </c>
      <c r="L361" s="80">
        <v>234.54426228</v>
      </c>
      <c r="M361" s="80">
        <v>246.41335158000001</v>
      </c>
      <c r="N361" s="80">
        <v>236.04968303999999</v>
      </c>
      <c r="O361" s="80">
        <v>234.79051487000001</v>
      </c>
      <c r="P361" s="80">
        <v>240.51218077999999</v>
      </c>
      <c r="Q361" s="80">
        <v>228.32448389000001</v>
      </c>
      <c r="R361" s="80">
        <v>227.11513930000001</v>
      </c>
      <c r="S361" s="80">
        <v>248.22513733</v>
      </c>
      <c r="T361" s="80">
        <v>281.34438396000002</v>
      </c>
    </row>
    <row r="362" spans="1:20" x14ac:dyDescent="0.2">
      <c r="A362" s="8">
        <v>361</v>
      </c>
      <c r="B362" s="8">
        <v>2</v>
      </c>
      <c r="C362" s="9" t="s">
        <v>687</v>
      </c>
      <c r="D362" s="10" t="s">
        <v>688</v>
      </c>
      <c r="E362" s="79">
        <v>61.394239571999996</v>
      </c>
      <c r="F362" s="79">
        <v>65.961485795000002</v>
      </c>
      <c r="G362" s="79">
        <v>72.095462752000003</v>
      </c>
      <c r="H362" s="79">
        <v>96.487018398999993</v>
      </c>
      <c r="I362" s="79">
        <v>105.66247787</v>
      </c>
      <c r="J362" s="79">
        <v>109.80333521</v>
      </c>
      <c r="K362" s="79">
        <v>122.95341163000001</v>
      </c>
      <c r="L362" s="79">
        <v>134.85511070999999</v>
      </c>
      <c r="M362" s="79">
        <v>131.61733685999999</v>
      </c>
      <c r="N362" s="79">
        <v>138.67611024999999</v>
      </c>
      <c r="O362" s="79">
        <v>159.19814043</v>
      </c>
      <c r="P362" s="79">
        <v>183.51656199000001</v>
      </c>
      <c r="Q362" s="79">
        <v>200.82888745</v>
      </c>
      <c r="R362" s="79">
        <v>189.53199860999999</v>
      </c>
      <c r="S362" s="79">
        <v>193.78792372000001</v>
      </c>
      <c r="T362" s="79">
        <v>171.46852999999999</v>
      </c>
    </row>
    <row r="363" spans="1:20" x14ac:dyDescent="0.2">
      <c r="A363" s="11">
        <v>362</v>
      </c>
      <c r="B363" s="11">
        <v>3</v>
      </c>
      <c r="C363" s="12" t="s">
        <v>689</v>
      </c>
      <c r="D363" s="13" t="s">
        <v>690</v>
      </c>
      <c r="E363" s="80">
        <v>0.1133258427</v>
      </c>
      <c r="F363" s="80">
        <v>0.1148185852</v>
      </c>
      <c r="G363" s="80">
        <v>0.1109212002</v>
      </c>
      <c r="H363" s="80">
        <v>0.10400258549999999</v>
      </c>
      <c r="I363" s="80">
        <v>9.7480196500000005E-2</v>
      </c>
      <c r="J363" s="80">
        <v>9.6258093700000005E-2</v>
      </c>
      <c r="K363" s="80">
        <v>0.26771478250000003</v>
      </c>
      <c r="L363" s="80">
        <v>0.82430424739999997</v>
      </c>
      <c r="M363" s="80">
        <v>0.76327624279999995</v>
      </c>
      <c r="N363" s="80">
        <v>0.40026441190000001</v>
      </c>
      <c r="O363" s="80">
        <v>6.6096918700000007E-2</v>
      </c>
      <c r="P363" s="80">
        <v>0.73244040659999998</v>
      </c>
      <c r="Q363" s="80">
        <v>2.0084039117999999</v>
      </c>
      <c r="R363" s="80">
        <v>1.8159913793</v>
      </c>
      <c r="S363" s="80">
        <v>0.96569494889999996</v>
      </c>
      <c r="T363" s="80">
        <v>1.4917800274999999</v>
      </c>
    </row>
    <row r="364" spans="1:20" x14ac:dyDescent="0.2">
      <c r="A364" s="11">
        <v>363</v>
      </c>
      <c r="B364" s="11">
        <v>3</v>
      </c>
      <c r="C364" s="12" t="s">
        <v>691</v>
      </c>
      <c r="D364" s="13" t="s">
        <v>688</v>
      </c>
      <c r="E364" s="80">
        <v>58.308584602000003</v>
      </c>
      <c r="F364" s="80">
        <v>63.141603361999998</v>
      </c>
      <c r="G364" s="80">
        <v>71.901285133000002</v>
      </c>
      <c r="H364" s="80">
        <v>96.592914371999996</v>
      </c>
      <c r="I364" s="80">
        <v>105.48086499</v>
      </c>
      <c r="J364" s="80">
        <v>108.85639818999999</v>
      </c>
      <c r="K364" s="80">
        <v>121.49840327</v>
      </c>
      <c r="L364" s="80">
        <v>131.82392222999999</v>
      </c>
      <c r="M364" s="80">
        <v>130.07839536</v>
      </c>
      <c r="N364" s="80">
        <v>137.44060013000001</v>
      </c>
      <c r="O364" s="80">
        <v>157.73332339000001</v>
      </c>
      <c r="P364" s="80">
        <v>181.49269043999999</v>
      </c>
      <c r="Q364" s="80">
        <v>194.91752366</v>
      </c>
      <c r="R364" s="80">
        <v>183.33003679999999</v>
      </c>
      <c r="S364" s="80">
        <v>190.24849939000001</v>
      </c>
      <c r="T364" s="80">
        <v>162.68509162999999</v>
      </c>
    </row>
    <row r="365" spans="1:20" x14ac:dyDescent="0.2">
      <c r="A365" s="11">
        <v>364</v>
      </c>
      <c r="B365" s="11">
        <v>3</v>
      </c>
      <c r="C365" s="12" t="s">
        <v>692</v>
      </c>
      <c r="D365" s="13" t="s">
        <v>693</v>
      </c>
      <c r="E365" s="80">
        <v>2.6389019899999999</v>
      </c>
      <c r="F365" s="80">
        <v>3.1985993202</v>
      </c>
      <c r="G365" s="80">
        <v>0.1509350448</v>
      </c>
      <c r="H365" s="80">
        <v>0.16495513410000001</v>
      </c>
      <c r="I365" s="80">
        <v>0.61710764009999997</v>
      </c>
      <c r="J365" s="80">
        <v>0.67218560520000004</v>
      </c>
      <c r="K365" s="80">
        <v>0.14101343199999999</v>
      </c>
      <c r="L365" s="80">
        <v>1.1359657910000001</v>
      </c>
      <c r="M365" s="80">
        <v>0.1137897952</v>
      </c>
      <c r="N365" s="80">
        <v>0.33697936750000002</v>
      </c>
      <c r="O365" s="80">
        <v>1.4874713134999999</v>
      </c>
      <c r="P365" s="80">
        <v>1.3681503287000001</v>
      </c>
      <c r="Q365" s="80">
        <v>4.7802383400000004</v>
      </c>
      <c r="R365" s="80">
        <v>6.4519910686999999</v>
      </c>
      <c r="S365" s="80">
        <v>4.1011059568999997</v>
      </c>
      <c r="T365" s="80">
        <v>12.492554604</v>
      </c>
    </row>
    <row r="366" spans="1:20" x14ac:dyDescent="0.2">
      <c r="A366" s="8">
        <v>365</v>
      </c>
      <c r="B366" s="8">
        <v>2</v>
      </c>
      <c r="C366" s="9" t="s">
        <v>694</v>
      </c>
      <c r="D366" s="10" t="s">
        <v>695</v>
      </c>
      <c r="E366" s="79">
        <v>0.1176185431</v>
      </c>
      <c r="F366" s="79">
        <v>0.1193613431</v>
      </c>
      <c r="G366" s="79">
        <v>1.5712205784</v>
      </c>
      <c r="H366" s="79">
        <v>1.0726429507999999</v>
      </c>
      <c r="I366" s="79">
        <v>18.959813703999998</v>
      </c>
      <c r="J366" s="79">
        <v>9.2385244330000003</v>
      </c>
      <c r="K366" s="79">
        <v>14.246817571999999</v>
      </c>
      <c r="L366" s="79">
        <v>15.957780852999999</v>
      </c>
      <c r="M366" s="79">
        <v>40.911015032000002</v>
      </c>
      <c r="N366" s="79">
        <v>17.584723961000002</v>
      </c>
      <c r="O366" s="79">
        <v>20.982365906999998</v>
      </c>
      <c r="P366" s="79">
        <v>18.845000917</v>
      </c>
      <c r="Q366" s="79">
        <v>18.212111088</v>
      </c>
      <c r="R366" s="79">
        <v>0.12562344910000001</v>
      </c>
      <c r="S366" s="79">
        <v>0.62322471690000003</v>
      </c>
      <c r="T366" s="79">
        <v>0.93417961790000004</v>
      </c>
    </row>
    <row r="367" spans="1:20" x14ac:dyDescent="0.2">
      <c r="A367" s="11">
        <v>366</v>
      </c>
      <c r="B367" s="11">
        <v>3</v>
      </c>
      <c r="C367" s="12" t="s">
        <v>696</v>
      </c>
      <c r="D367" s="13" t="s">
        <v>695</v>
      </c>
      <c r="E367" s="80">
        <v>0.1176185431</v>
      </c>
      <c r="F367" s="80">
        <v>0.1193613431</v>
      </c>
      <c r="G367" s="80">
        <v>1.5712205784</v>
      </c>
      <c r="H367" s="80">
        <v>1.0726429507999999</v>
      </c>
      <c r="I367" s="80">
        <v>18.959813703999998</v>
      </c>
      <c r="J367" s="80">
        <v>9.2385244330000003</v>
      </c>
      <c r="K367" s="80">
        <v>14.246817571999999</v>
      </c>
      <c r="L367" s="80">
        <v>15.957780852999999</v>
      </c>
      <c r="M367" s="80">
        <v>40.911015032000002</v>
      </c>
      <c r="N367" s="80">
        <v>17.584723961000002</v>
      </c>
      <c r="O367" s="80">
        <v>20.982365906999998</v>
      </c>
      <c r="P367" s="80">
        <v>18.845000917</v>
      </c>
      <c r="Q367" s="80">
        <v>18.212111088</v>
      </c>
      <c r="R367" s="80">
        <v>0.12562344910000001</v>
      </c>
      <c r="S367" s="80">
        <v>0.62322471690000003</v>
      </c>
      <c r="T367" s="80">
        <v>0.93417961790000004</v>
      </c>
    </row>
    <row r="368" spans="1:20" ht="15" x14ac:dyDescent="0.25">
      <c r="A368" s="4">
        <v>367</v>
      </c>
      <c r="B368" s="4">
        <v>1</v>
      </c>
      <c r="C368" s="5" t="s">
        <v>697</v>
      </c>
      <c r="D368" s="6" t="s">
        <v>698</v>
      </c>
      <c r="E368" s="78">
        <v>973.44516490000001</v>
      </c>
      <c r="F368" s="78">
        <v>1058.6197056999999</v>
      </c>
      <c r="G368" s="78">
        <v>1073.9160377999999</v>
      </c>
      <c r="H368" s="78">
        <v>1099.3575148</v>
      </c>
      <c r="I368" s="78">
        <v>1190.1507004</v>
      </c>
      <c r="J368" s="78">
        <v>1209.4610563000001</v>
      </c>
      <c r="K368" s="78">
        <v>1266.1332461</v>
      </c>
      <c r="L368" s="78">
        <v>1331.5843485</v>
      </c>
      <c r="M368" s="78">
        <v>1372.5247709</v>
      </c>
      <c r="N368" s="78">
        <v>1384.9235791999999</v>
      </c>
      <c r="O368" s="78">
        <v>1480.2136452</v>
      </c>
      <c r="P368" s="78">
        <v>1569.2740308</v>
      </c>
      <c r="Q368" s="78">
        <v>1633.4665353</v>
      </c>
      <c r="R368" s="78">
        <v>1674.1968916999999</v>
      </c>
      <c r="S368" s="78">
        <v>1678.7619609000001</v>
      </c>
      <c r="T368" s="78">
        <v>1731.8942239</v>
      </c>
    </row>
    <row r="369" spans="1:20" x14ac:dyDescent="0.2">
      <c r="A369" s="8">
        <v>368</v>
      </c>
      <c r="B369" s="8">
        <v>2</v>
      </c>
      <c r="C369" s="9" t="s">
        <v>699</v>
      </c>
      <c r="D369" s="10" t="s">
        <v>700</v>
      </c>
      <c r="E369" s="79">
        <v>301.56736523000001</v>
      </c>
      <c r="F369" s="79">
        <v>325.40041375999999</v>
      </c>
      <c r="G369" s="79">
        <v>336.94328883999998</v>
      </c>
      <c r="H369" s="79">
        <v>347.92091701999999</v>
      </c>
      <c r="I369" s="79">
        <v>369.74355099000002</v>
      </c>
      <c r="J369" s="79">
        <v>376.05791592999998</v>
      </c>
      <c r="K369" s="79">
        <v>393.14211703000001</v>
      </c>
      <c r="L369" s="79">
        <v>393.13852830000002</v>
      </c>
      <c r="M369" s="79">
        <v>342.28463257999999</v>
      </c>
      <c r="N369" s="79">
        <v>366.30372647000002</v>
      </c>
      <c r="O369" s="79">
        <v>387.08511735000002</v>
      </c>
      <c r="P369" s="79">
        <v>374.44405903000001</v>
      </c>
      <c r="Q369" s="79">
        <v>427.89996852000002</v>
      </c>
      <c r="R369" s="79">
        <v>438.46095628</v>
      </c>
      <c r="S369" s="79">
        <v>465.14625245000002</v>
      </c>
      <c r="T369" s="79">
        <v>513.99271669999996</v>
      </c>
    </row>
    <row r="370" spans="1:20" x14ac:dyDescent="0.2">
      <c r="A370" s="11">
        <v>369</v>
      </c>
      <c r="B370" s="11">
        <v>3</v>
      </c>
      <c r="C370" s="12" t="s">
        <v>701</v>
      </c>
      <c r="D370" s="13" t="s">
        <v>700</v>
      </c>
      <c r="E370" s="80">
        <v>301.56736523000001</v>
      </c>
      <c r="F370" s="80">
        <v>325.40041375999999</v>
      </c>
      <c r="G370" s="80">
        <v>336.94328883999998</v>
      </c>
      <c r="H370" s="80">
        <v>347.92091701999999</v>
      </c>
      <c r="I370" s="80">
        <v>369.74355099000002</v>
      </c>
      <c r="J370" s="80">
        <v>376.05791592999998</v>
      </c>
      <c r="K370" s="80">
        <v>393.14211703000001</v>
      </c>
      <c r="L370" s="80">
        <v>393.13852830000002</v>
      </c>
      <c r="M370" s="80">
        <v>342.28463257999999</v>
      </c>
      <c r="N370" s="80">
        <v>366.30372647000002</v>
      </c>
      <c r="O370" s="80">
        <v>387.08511735000002</v>
      </c>
      <c r="P370" s="80">
        <v>374.44405903000001</v>
      </c>
      <c r="Q370" s="80">
        <v>427.89996852000002</v>
      </c>
      <c r="R370" s="80">
        <v>438.46095628</v>
      </c>
      <c r="S370" s="80">
        <v>465.14625245000002</v>
      </c>
      <c r="T370" s="80">
        <v>513.99271669999996</v>
      </c>
    </row>
    <row r="371" spans="1:20" x14ac:dyDescent="0.2">
      <c r="A371" s="8">
        <v>370</v>
      </c>
      <c r="B371" s="8">
        <v>2</v>
      </c>
      <c r="C371" s="9" t="s">
        <v>702</v>
      </c>
      <c r="D371" s="10" t="s">
        <v>703</v>
      </c>
      <c r="E371" s="79">
        <v>279.55915549999997</v>
      </c>
      <c r="F371" s="79">
        <v>296.07873404999998</v>
      </c>
      <c r="G371" s="79">
        <v>294.24649036</v>
      </c>
      <c r="H371" s="79">
        <v>314.33464554</v>
      </c>
      <c r="I371" s="79">
        <v>323.66082506999999</v>
      </c>
      <c r="J371" s="79">
        <v>345.81671206999999</v>
      </c>
      <c r="K371" s="79">
        <v>353.68786727999998</v>
      </c>
      <c r="L371" s="79">
        <v>393.82347477000002</v>
      </c>
      <c r="M371" s="79">
        <v>461.27338121000003</v>
      </c>
      <c r="N371" s="79">
        <v>446.61077969000002</v>
      </c>
      <c r="O371" s="79">
        <v>484.29137638999998</v>
      </c>
      <c r="P371" s="79">
        <v>539.40074458000004</v>
      </c>
      <c r="Q371" s="79">
        <v>550.40002326000001</v>
      </c>
      <c r="R371" s="79">
        <v>534.36015350000002</v>
      </c>
      <c r="S371" s="79">
        <v>525.95223812999996</v>
      </c>
      <c r="T371" s="79">
        <v>513.91013080000005</v>
      </c>
    </row>
    <row r="372" spans="1:20" x14ac:dyDescent="0.2">
      <c r="A372" s="11">
        <v>371</v>
      </c>
      <c r="B372" s="11">
        <v>3</v>
      </c>
      <c r="C372" s="12" t="s">
        <v>704</v>
      </c>
      <c r="D372" s="13" t="s">
        <v>705</v>
      </c>
      <c r="E372" s="80">
        <v>20.521470172000001</v>
      </c>
      <c r="F372" s="80">
        <v>14.169530832</v>
      </c>
      <c r="G372" s="80">
        <v>16.454798124</v>
      </c>
      <c r="H372" s="80">
        <v>21.373430482</v>
      </c>
      <c r="I372" s="80">
        <v>20.756988471</v>
      </c>
      <c r="J372" s="80">
        <v>25.012507828</v>
      </c>
      <c r="K372" s="80">
        <v>27.463209642999999</v>
      </c>
      <c r="L372" s="80">
        <v>47.927658563000001</v>
      </c>
      <c r="M372" s="80">
        <v>85.910637254999997</v>
      </c>
      <c r="N372" s="80">
        <v>66.948343589999993</v>
      </c>
      <c r="O372" s="80">
        <v>82.637339511999997</v>
      </c>
      <c r="P372" s="80">
        <v>100.96780231</v>
      </c>
      <c r="Q372" s="80">
        <v>83.254548427000003</v>
      </c>
      <c r="R372" s="80">
        <v>37.188782539000002</v>
      </c>
      <c r="S372" s="80">
        <v>27.615866102999998</v>
      </c>
      <c r="T372" s="80">
        <v>40.363592582999999</v>
      </c>
    </row>
    <row r="373" spans="1:20" x14ac:dyDescent="0.2">
      <c r="A373" s="11">
        <v>372</v>
      </c>
      <c r="B373" s="11">
        <v>3</v>
      </c>
      <c r="C373" s="12" t="s">
        <v>706</v>
      </c>
      <c r="D373" s="13" t="s">
        <v>707</v>
      </c>
      <c r="E373" s="80">
        <v>98.498087376000001</v>
      </c>
      <c r="F373" s="80">
        <v>113.61959963</v>
      </c>
      <c r="G373" s="80">
        <v>105.61325472999999</v>
      </c>
      <c r="H373" s="80">
        <v>118.47619088</v>
      </c>
      <c r="I373" s="80">
        <v>118.98495272</v>
      </c>
      <c r="J373" s="80">
        <v>122.8021911</v>
      </c>
      <c r="K373" s="80">
        <v>124.32121109000001</v>
      </c>
      <c r="L373" s="80">
        <v>132.43704460999999</v>
      </c>
      <c r="M373" s="80">
        <v>136.21288695000001</v>
      </c>
      <c r="N373" s="80">
        <v>149.45084639999999</v>
      </c>
      <c r="O373" s="80">
        <v>153.62345751999999</v>
      </c>
      <c r="P373" s="80">
        <v>168.20240251000001</v>
      </c>
      <c r="Q373" s="80">
        <v>194.43298103000001</v>
      </c>
      <c r="R373" s="80">
        <v>182.11924816000001</v>
      </c>
      <c r="S373" s="80">
        <v>195.17690003000001</v>
      </c>
      <c r="T373" s="80">
        <v>181.16490752000001</v>
      </c>
    </row>
    <row r="374" spans="1:20" x14ac:dyDescent="0.2">
      <c r="A374" s="11">
        <v>373</v>
      </c>
      <c r="B374" s="11">
        <v>3</v>
      </c>
      <c r="C374" s="12" t="s">
        <v>708</v>
      </c>
      <c r="D374" s="13" t="s">
        <v>709</v>
      </c>
      <c r="E374" s="80">
        <v>32.317599024000003</v>
      </c>
      <c r="F374" s="80">
        <v>33.353880582000002</v>
      </c>
      <c r="G374" s="80">
        <v>34.730502463000001</v>
      </c>
      <c r="H374" s="80">
        <v>34.660292929999997</v>
      </c>
      <c r="I374" s="80">
        <v>35.528891432000002</v>
      </c>
      <c r="J374" s="80">
        <v>39.418925422999997</v>
      </c>
      <c r="K374" s="80">
        <v>44.558923483000001</v>
      </c>
      <c r="L374" s="80">
        <v>45.436752900000002</v>
      </c>
      <c r="M374" s="80">
        <v>41.967345358000003</v>
      </c>
      <c r="N374" s="80">
        <v>45.964257689999997</v>
      </c>
      <c r="O374" s="80">
        <v>48.744237206000001</v>
      </c>
      <c r="P374" s="80">
        <v>51.506301923999999</v>
      </c>
      <c r="Q374" s="80">
        <v>46.133042824999997</v>
      </c>
      <c r="R374" s="80">
        <v>55.117312405</v>
      </c>
      <c r="S374" s="80">
        <v>51.862077401000001</v>
      </c>
      <c r="T374" s="80">
        <v>48.601337555000001</v>
      </c>
    </row>
    <row r="375" spans="1:20" x14ac:dyDescent="0.2">
      <c r="A375" s="11">
        <v>374</v>
      </c>
      <c r="B375" s="11">
        <v>3</v>
      </c>
      <c r="C375" s="12" t="s">
        <v>710</v>
      </c>
      <c r="D375" s="13" t="s">
        <v>711</v>
      </c>
      <c r="E375" s="80">
        <v>114.89267836000001</v>
      </c>
      <c r="F375" s="80">
        <v>121.10180486</v>
      </c>
      <c r="G375" s="80">
        <v>120.88296244</v>
      </c>
      <c r="H375" s="80">
        <v>126.33806622</v>
      </c>
      <c r="I375" s="80">
        <v>127.5870587</v>
      </c>
      <c r="J375" s="80">
        <v>143.69537371000001</v>
      </c>
      <c r="K375" s="80">
        <v>144.28681685999999</v>
      </c>
      <c r="L375" s="80">
        <v>145.75319100999999</v>
      </c>
      <c r="M375" s="80">
        <v>173.72755222000001</v>
      </c>
      <c r="N375" s="80">
        <v>162.98829547</v>
      </c>
      <c r="O375" s="80">
        <v>176.60985037</v>
      </c>
      <c r="P375" s="80">
        <v>189.16950603000001</v>
      </c>
      <c r="Q375" s="80">
        <v>198.37582857000001</v>
      </c>
      <c r="R375" s="80">
        <v>229.54995636999999</v>
      </c>
      <c r="S375" s="80">
        <v>219.32516371</v>
      </c>
      <c r="T375" s="80">
        <v>215.68055794</v>
      </c>
    </row>
    <row r="376" spans="1:20" x14ac:dyDescent="0.2">
      <c r="A376" s="11">
        <v>375</v>
      </c>
      <c r="B376" s="11">
        <v>3</v>
      </c>
      <c r="C376" s="12" t="s">
        <v>712</v>
      </c>
      <c r="D376" s="13" t="s">
        <v>713</v>
      </c>
      <c r="E376" s="80">
        <v>18.356430867</v>
      </c>
      <c r="F376" s="80">
        <v>18.321632533999999</v>
      </c>
      <c r="G376" s="80">
        <v>21.638255813000001</v>
      </c>
      <c r="H376" s="80">
        <v>20.002485501999999</v>
      </c>
      <c r="I376" s="80">
        <v>27.239892067</v>
      </c>
      <c r="J376" s="80">
        <v>22.151109306999999</v>
      </c>
      <c r="K376" s="80">
        <v>20.259723156</v>
      </c>
      <c r="L376" s="80">
        <v>28.737340289999999</v>
      </c>
      <c r="M376" s="80">
        <v>26.964035268</v>
      </c>
      <c r="N376" s="80">
        <v>23.792836282</v>
      </c>
      <c r="O376" s="80">
        <v>24.59889386</v>
      </c>
      <c r="P376" s="80">
        <v>33.637760802000003</v>
      </c>
      <c r="Q376" s="80">
        <v>32.842908283</v>
      </c>
      <c r="R376" s="80">
        <v>32.846686826000003</v>
      </c>
      <c r="S376" s="80">
        <v>33.713084393000003</v>
      </c>
      <c r="T376" s="80">
        <v>30.543834755999999</v>
      </c>
    </row>
    <row r="377" spans="1:20" x14ac:dyDescent="0.2">
      <c r="A377" s="8">
        <v>376</v>
      </c>
      <c r="B377" s="8">
        <v>2</v>
      </c>
      <c r="C377" s="9" t="s">
        <v>714</v>
      </c>
      <c r="D377" s="10" t="s">
        <v>715</v>
      </c>
      <c r="E377" s="79">
        <v>154.74047465999999</v>
      </c>
      <c r="F377" s="79">
        <v>168.87321767</v>
      </c>
      <c r="G377" s="79">
        <v>164.01647309000001</v>
      </c>
      <c r="H377" s="79">
        <v>147.1833316</v>
      </c>
      <c r="I377" s="79">
        <v>173.26053013000001</v>
      </c>
      <c r="J377" s="79">
        <v>189.72486717000001</v>
      </c>
      <c r="K377" s="79">
        <v>205.48023459000001</v>
      </c>
      <c r="L377" s="79">
        <v>210.82478755</v>
      </c>
      <c r="M377" s="79">
        <v>216.86480996</v>
      </c>
      <c r="N377" s="79">
        <v>220.22377387</v>
      </c>
      <c r="O377" s="79">
        <v>213.04020249000001</v>
      </c>
      <c r="P377" s="79">
        <v>238.01880155999999</v>
      </c>
      <c r="Q377" s="79">
        <v>229.45890276</v>
      </c>
      <c r="R377" s="79">
        <v>258.30044133000001</v>
      </c>
      <c r="S377" s="79">
        <v>258.18252172000001</v>
      </c>
      <c r="T377" s="79">
        <v>264.66852676000002</v>
      </c>
    </row>
    <row r="378" spans="1:20" x14ac:dyDescent="0.2">
      <c r="A378" s="11">
        <v>377</v>
      </c>
      <c r="B378" s="11">
        <v>3</v>
      </c>
      <c r="C378" s="12" t="s">
        <v>716</v>
      </c>
      <c r="D378" s="13" t="s">
        <v>715</v>
      </c>
      <c r="E378" s="80">
        <v>154.74047465999999</v>
      </c>
      <c r="F378" s="80">
        <v>168.87321767</v>
      </c>
      <c r="G378" s="80">
        <v>164.01647309000001</v>
      </c>
      <c r="H378" s="80">
        <v>147.1833316</v>
      </c>
      <c r="I378" s="80">
        <v>173.26053013000001</v>
      </c>
      <c r="J378" s="80">
        <v>189.72486717000001</v>
      </c>
      <c r="K378" s="80">
        <v>205.48023459000001</v>
      </c>
      <c r="L378" s="80">
        <v>210.82478755</v>
      </c>
      <c r="M378" s="80">
        <v>216.86480996</v>
      </c>
      <c r="N378" s="80">
        <v>220.22377387</v>
      </c>
      <c r="O378" s="80">
        <v>213.04020249000001</v>
      </c>
      <c r="P378" s="80">
        <v>238.01880155999999</v>
      </c>
      <c r="Q378" s="80">
        <v>229.45890276</v>
      </c>
      <c r="R378" s="80">
        <v>258.30044133000001</v>
      </c>
      <c r="S378" s="80">
        <v>258.18252172000001</v>
      </c>
      <c r="T378" s="80">
        <v>264.66852676000002</v>
      </c>
    </row>
    <row r="379" spans="1:20" x14ac:dyDescent="0.2">
      <c r="A379" s="8">
        <v>378</v>
      </c>
      <c r="B379" s="8">
        <v>2</v>
      </c>
      <c r="C379" s="9" t="s">
        <v>717</v>
      </c>
      <c r="D379" s="10" t="s">
        <v>718</v>
      </c>
      <c r="E379" s="79">
        <v>225.01422009999999</v>
      </c>
      <c r="F379" s="79">
        <v>259.58666031000001</v>
      </c>
      <c r="G379" s="79">
        <v>263.36408363999999</v>
      </c>
      <c r="H379" s="79">
        <v>273.05190775</v>
      </c>
      <c r="I379" s="79">
        <v>313.85650340000001</v>
      </c>
      <c r="J379" s="79">
        <v>291.07666327999999</v>
      </c>
      <c r="K379" s="79">
        <v>309.66238951999998</v>
      </c>
      <c r="L379" s="79">
        <v>331.53433068999999</v>
      </c>
      <c r="M379" s="79">
        <v>345.80228096000002</v>
      </c>
      <c r="N379" s="79">
        <v>349.63090806999998</v>
      </c>
      <c r="O379" s="79">
        <v>390.83709162999997</v>
      </c>
      <c r="P379" s="79">
        <v>412.42250855999998</v>
      </c>
      <c r="Q379" s="79">
        <v>423.57882619999998</v>
      </c>
      <c r="R379" s="79">
        <v>447.26749605999998</v>
      </c>
      <c r="S379" s="79">
        <v>440.00306848000002</v>
      </c>
      <c r="T379" s="79">
        <v>455.14094796000001</v>
      </c>
    </row>
    <row r="380" spans="1:20" x14ac:dyDescent="0.2">
      <c r="A380" s="11">
        <v>379</v>
      </c>
      <c r="B380" s="11">
        <v>3</v>
      </c>
      <c r="C380" s="12" t="s">
        <v>719</v>
      </c>
      <c r="D380" s="13" t="s">
        <v>720</v>
      </c>
      <c r="E380" s="80">
        <v>6.7457177923999998</v>
      </c>
      <c r="F380" s="80">
        <v>9.0699564696999992</v>
      </c>
      <c r="G380" s="80">
        <v>7.9115940535</v>
      </c>
      <c r="H380" s="80">
        <v>9.5598301264999996</v>
      </c>
      <c r="I380" s="80">
        <v>11.374021245</v>
      </c>
      <c r="J380" s="80">
        <v>16.713723810000001</v>
      </c>
      <c r="K380" s="80">
        <v>18.663045942</v>
      </c>
      <c r="L380" s="80">
        <v>22.305729637999999</v>
      </c>
      <c r="M380" s="80">
        <v>33.716808745000002</v>
      </c>
      <c r="N380" s="80">
        <v>21.071088870000001</v>
      </c>
      <c r="O380" s="80">
        <v>21.71826789</v>
      </c>
      <c r="P380" s="80">
        <v>18.183715538000001</v>
      </c>
      <c r="Q380" s="80">
        <v>23.178769815999999</v>
      </c>
      <c r="R380" s="80">
        <v>10.302726116000001</v>
      </c>
      <c r="S380" s="80">
        <v>5.4161291281999997</v>
      </c>
      <c r="T380" s="80">
        <v>6.0850977258999999</v>
      </c>
    </row>
    <row r="381" spans="1:20" x14ac:dyDescent="0.2">
      <c r="A381" s="11">
        <v>380</v>
      </c>
      <c r="B381" s="11">
        <v>3</v>
      </c>
      <c r="C381" s="12" t="s">
        <v>721</v>
      </c>
      <c r="D381" s="13" t="s">
        <v>722</v>
      </c>
      <c r="E381" s="80">
        <v>83.035008567000006</v>
      </c>
      <c r="F381" s="80">
        <v>95.448559320000001</v>
      </c>
      <c r="G381" s="80">
        <v>98.024291395000006</v>
      </c>
      <c r="H381" s="80">
        <v>101.28011151</v>
      </c>
      <c r="I381" s="80">
        <v>114.05622206</v>
      </c>
      <c r="J381" s="80">
        <v>112.01361099</v>
      </c>
      <c r="K381" s="80">
        <v>108.81116186</v>
      </c>
      <c r="L381" s="80">
        <v>106.74079678</v>
      </c>
      <c r="M381" s="80">
        <v>124.26513301999999</v>
      </c>
      <c r="N381" s="80">
        <v>135.79117593999999</v>
      </c>
      <c r="O381" s="80">
        <v>158.93647655000001</v>
      </c>
      <c r="P381" s="80">
        <v>151.44203268999999</v>
      </c>
      <c r="Q381" s="80">
        <v>152.68994881</v>
      </c>
      <c r="R381" s="80">
        <v>156.04671599</v>
      </c>
      <c r="S381" s="80">
        <v>150.23305747000001</v>
      </c>
      <c r="T381" s="80">
        <v>125.10762</v>
      </c>
    </row>
    <row r="382" spans="1:20" x14ac:dyDescent="0.2">
      <c r="A382" s="11">
        <v>381</v>
      </c>
      <c r="B382" s="11">
        <v>3</v>
      </c>
      <c r="C382" s="12" t="s">
        <v>723</v>
      </c>
      <c r="D382" s="13" t="s">
        <v>724</v>
      </c>
      <c r="E382" s="80">
        <v>136.34167084000001</v>
      </c>
      <c r="F382" s="80">
        <v>156.65757772000001</v>
      </c>
      <c r="G382" s="80">
        <v>159.21793729999999</v>
      </c>
      <c r="H382" s="80">
        <v>164.06709626</v>
      </c>
      <c r="I382" s="80">
        <v>190.23798798000001</v>
      </c>
      <c r="J382" s="80">
        <v>164.37072370999999</v>
      </c>
      <c r="K382" s="80">
        <v>183.55899027000001</v>
      </c>
      <c r="L382" s="80">
        <v>203.64319594</v>
      </c>
      <c r="M382" s="80">
        <v>190.16219421</v>
      </c>
      <c r="N382" s="80">
        <v>195.39027998</v>
      </c>
      <c r="O382" s="80">
        <v>213.53775898000001</v>
      </c>
      <c r="P382" s="80">
        <v>246.44793917000001</v>
      </c>
      <c r="Q382" s="80">
        <v>251.09801934000001</v>
      </c>
      <c r="R382" s="80">
        <v>284.12215888999998</v>
      </c>
      <c r="S382" s="80">
        <v>286.79618190999997</v>
      </c>
      <c r="T382" s="80">
        <v>326.02421344999999</v>
      </c>
    </row>
    <row r="383" spans="1:20" x14ac:dyDescent="0.2">
      <c r="A383" s="8">
        <v>382</v>
      </c>
      <c r="B383" s="8">
        <v>2</v>
      </c>
      <c r="C383" s="9" t="s">
        <v>725</v>
      </c>
      <c r="D383" s="10" t="s">
        <v>726</v>
      </c>
      <c r="E383" s="79">
        <v>10.731263285000001</v>
      </c>
      <c r="F383" s="79">
        <v>4.4337179049</v>
      </c>
      <c r="G383" s="79">
        <v>7.9523035522000001</v>
      </c>
      <c r="H383" s="79">
        <v>8.8279683043000006</v>
      </c>
      <c r="I383" s="79">
        <v>1.3050146195000001</v>
      </c>
      <c r="J383" s="79">
        <v>1.5921510439</v>
      </c>
      <c r="K383" s="79">
        <v>1.0091654085999999</v>
      </c>
      <c r="L383" s="79">
        <v>1.2389058914</v>
      </c>
      <c r="M383" s="79">
        <v>5.2798825040999997</v>
      </c>
      <c r="N383" s="79">
        <v>0.76898556679999996</v>
      </c>
      <c r="O383" s="79">
        <v>1.3014487681</v>
      </c>
      <c r="P383" s="79">
        <v>0.77786415509999995</v>
      </c>
      <c r="Q383" s="79">
        <v>1.9305304751000001</v>
      </c>
      <c r="R383" s="79">
        <v>0.45971106979999998</v>
      </c>
      <c r="S383" s="79">
        <v>9.6090264600000003E-2</v>
      </c>
      <c r="T383" s="79">
        <v>9.3600487600000004E-2</v>
      </c>
    </row>
    <row r="384" spans="1:20" x14ac:dyDescent="0.2">
      <c r="A384" s="11">
        <v>383</v>
      </c>
      <c r="B384" s="11">
        <v>3</v>
      </c>
      <c r="C384" s="12" t="s">
        <v>727</v>
      </c>
      <c r="D384" s="13" t="s">
        <v>726</v>
      </c>
      <c r="E384" s="80">
        <v>10.731263285000001</v>
      </c>
      <c r="F384" s="80">
        <v>4.4337179049</v>
      </c>
      <c r="G384" s="80">
        <v>7.9523035522000001</v>
      </c>
      <c r="H384" s="80">
        <v>8.8279683043000006</v>
      </c>
      <c r="I384" s="80">
        <v>1.3050146195000001</v>
      </c>
      <c r="J384" s="80">
        <v>1.5921510439</v>
      </c>
      <c r="K384" s="80">
        <v>1.0091654085999999</v>
      </c>
      <c r="L384" s="80">
        <v>1.2389058914</v>
      </c>
      <c r="M384" s="80">
        <v>5.2798825040999997</v>
      </c>
      <c r="N384" s="80">
        <v>0.76898556679999996</v>
      </c>
      <c r="O384" s="80">
        <v>1.3014487681</v>
      </c>
      <c r="P384" s="80">
        <v>0.77786415509999995</v>
      </c>
      <c r="Q384" s="80">
        <v>1.9305304751000001</v>
      </c>
      <c r="R384" s="80">
        <v>0.45971106979999998</v>
      </c>
      <c r="S384" s="80">
        <v>9.6090264600000003E-2</v>
      </c>
      <c r="T384" s="80">
        <v>9.3600487600000004E-2</v>
      </c>
    </row>
    <row r="385" spans="1:20" ht="15" x14ac:dyDescent="0.25">
      <c r="A385" s="4">
        <v>384</v>
      </c>
      <c r="B385" s="4">
        <v>1</v>
      </c>
      <c r="C385" s="5" t="s">
        <v>728</v>
      </c>
      <c r="D385" s="6" t="s">
        <v>729</v>
      </c>
      <c r="E385" s="78">
        <v>175.44824120000001</v>
      </c>
      <c r="F385" s="78">
        <v>184.7002938</v>
      </c>
      <c r="G385" s="78">
        <v>191.12498429999999</v>
      </c>
      <c r="H385" s="78">
        <v>177.5435162</v>
      </c>
      <c r="I385" s="78">
        <v>204.65746490000001</v>
      </c>
      <c r="J385" s="78">
        <v>194.50705120000001</v>
      </c>
      <c r="K385" s="78">
        <v>217.1061728</v>
      </c>
      <c r="L385" s="78">
        <v>218.27315010000001</v>
      </c>
      <c r="M385" s="78">
        <v>221.9017863</v>
      </c>
      <c r="N385" s="78">
        <v>189.68122969999999</v>
      </c>
      <c r="O385" s="78">
        <v>227.28970559999999</v>
      </c>
      <c r="P385" s="78">
        <v>227.19576559999999</v>
      </c>
      <c r="Q385" s="78">
        <v>227.84852559999999</v>
      </c>
      <c r="R385" s="78">
        <v>246.7575836</v>
      </c>
      <c r="S385" s="78">
        <v>257.38248679999998</v>
      </c>
      <c r="T385" s="78">
        <v>160.3298992</v>
      </c>
    </row>
    <row r="386" spans="1:20" x14ac:dyDescent="0.2">
      <c r="A386" s="8">
        <v>385</v>
      </c>
      <c r="B386" s="8">
        <v>2</v>
      </c>
      <c r="C386" s="9" t="s">
        <v>730</v>
      </c>
      <c r="D386" s="10" t="s">
        <v>731</v>
      </c>
      <c r="E386" s="79">
        <v>25.958566805</v>
      </c>
      <c r="F386" s="79">
        <v>23.389731517000001</v>
      </c>
      <c r="G386" s="79">
        <v>25.873548912</v>
      </c>
      <c r="H386" s="79">
        <v>28.720385161999999</v>
      </c>
      <c r="I386" s="79">
        <v>28.717922684000001</v>
      </c>
      <c r="J386" s="79">
        <v>27.094597738000001</v>
      </c>
      <c r="K386" s="79">
        <v>31.038223543000001</v>
      </c>
      <c r="L386" s="79">
        <v>34.808627239000003</v>
      </c>
      <c r="M386" s="79">
        <v>28.173985399999999</v>
      </c>
      <c r="N386" s="79">
        <v>21.909511273</v>
      </c>
      <c r="O386" s="79">
        <v>39.120166548999997</v>
      </c>
      <c r="P386" s="79">
        <v>36.572773366</v>
      </c>
      <c r="Q386" s="79">
        <v>32.454469105000001</v>
      </c>
      <c r="R386" s="79">
        <v>34.738107309</v>
      </c>
      <c r="S386" s="79">
        <v>31.914364079999999</v>
      </c>
      <c r="T386" s="79">
        <v>32.167993465999999</v>
      </c>
    </row>
    <row r="387" spans="1:20" x14ac:dyDescent="0.2">
      <c r="A387" s="11">
        <v>386</v>
      </c>
      <c r="B387" s="11">
        <v>3</v>
      </c>
      <c r="C387" s="12" t="s">
        <v>732</v>
      </c>
      <c r="D387" s="13" t="s">
        <v>733</v>
      </c>
      <c r="E387" s="80">
        <v>0.107862256</v>
      </c>
      <c r="F387" s="80">
        <v>0.1126704042</v>
      </c>
      <c r="G387" s="80">
        <v>0.11658539850000001</v>
      </c>
      <c r="H387" s="80">
        <v>0.117152698</v>
      </c>
      <c r="I387" s="80">
        <v>0.1150078006</v>
      </c>
      <c r="J387" s="80">
        <v>0.1088847635</v>
      </c>
      <c r="K387" s="80">
        <v>0.1037008083</v>
      </c>
      <c r="L387" s="80">
        <v>0.1009561888</v>
      </c>
      <c r="M387" s="80">
        <v>0.1011035889</v>
      </c>
      <c r="N387" s="80">
        <v>0.10391785620000001</v>
      </c>
      <c r="O387" s="80">
        <v>0.1100057477</v>
      </c>
      <c r="P387" s="80">
        <v>0.11733242989999999</v>
      </c>
      <c r="Q387" s="80">
        <v>0.1211557709</v>
      </c>
      <c r="R387" s="80">
        <v>0.1231295837</v>
      </c>
      <c r="S387" s="80">
        <v>0.1226146783</v>
      </c>
      <c r="T387" s="80">
        <v>0.54119481469999997</v>
      </c>
    </row>
    <row r="388" spans="1:20" x14ac:dyDescent="0.2">
      <c r="A388" s="11">
        <v>387</v>
      </c>
      <c r="B388" s="11">
        <v>3</v>
      </c>
      <c r="C388" s="12" t="s">
        <v>734</v>
      </c>
      <c r="D388" s="13" t="s">
        <v>735</v>
      </c>
      <c r="E388" s="80">
        <v>8.5739483685</v>
      </c>
      <c r="F388" s="80">
        <v>7.8434618950999999</v>
      </c>
      <c r="G388" s="80">
        <v>7.9349249997999998</v>
      </c>
      <c r="H388" s="80">
        <v>10.874930566</v>
      </c>
      <c r="I388" s="80">
        <v>8.7738392802000007</v>
      </c>
      <c r="J388" s="80">
        <v>10.009645141</v>
      </c>
      <c r="K388" s="80">
        <v>9.8397903857000006</v>
      </c>
      <c r="L388" s="80">
        <v>10.058790713</v>
      </c>
      <c r="M388" s="80">
        <v>8.4949098834000001</v>
      </c>
      <c r="N388" s="80">
        <v>6.2747991402999999</v>
      </c>
      <c r="O388" s="80">
        <v>15.901248469</v>
      </c>
      <c r="P388" s="80">
        <v>12.916653241000001</v>
      </c>
      <c r="Q388" s="80">
        <v>8.9775511708</v>
      </c>
      <c r="R388" s="80">
        <v>10.603160631</v>
      </c>
      <c r="S388" s="80">
        <v>13.416621814999999</v>
      </c>
      <c r="T388" s="80">
        <v>12.376722721</v>
      </c>
    </row>
    <row r="389" spans="1:20" x14ac:dyDescent="0.2">
      <c r="A389" s="11">
        <v>388</v>
      </c>
      <c r="B389" s="11">
        <v>3</v>
      </c>
      <c r="C389" s="12" t="s">
        <v>736</v>
      </c>
      <c r="D389" s="13" t="s">
        <v>737</v>
      </c>
      <c r="E389" s="80">
        <v>16.726020570999999</v>
      </c>
      <c r="F389" s="80">
        <v>14.893622951999999</v>
      </c>
      <c r="G389" s="80">
        <v>17.344813685999998</v>
      </c>
      <c r="H389" s="80">
        <v>17.377072127999998</v>
      </c>
      <c r="I389" s="80">
        <v>19.745340749</v>
      </c>
      <c r="J389" s="80">
        <v>16.946890155999998</v>
      </c>
      <c r="K389" s="80">
        <v>20.964269078000001</v>
      </c>
      <c r="L389" s="80">
        <v>24.282393698</v>
      </c>
      <c r="M389" s="80">
        <v>19.286790468</v>
      </c>
      <c r="N389" s="80">
        <v>15.375570634000001</v>
      </c>
      <c r="O389" s="80">
        <v>23.010280353999999</v>
      </c>
      <c r="P389" s="80">
        <v>23.484976609</v>
      </c>
      <c r="Q389" s="80">
        <v>23.50943599</v>
      </c>
      <c r="R389" s="80">
        <v>24.107009202</v>
      </c>
      <c r="S389" s="80">
        <v>18.223503311000002</v>
      </c>
      <c r="T389" s="80">
        <v>19.136918609999999</v>
      </c>
    </row>
    <row r="390" spans="1:20" x14ac:dyDescent="0.2">
      <c r="A390" s="8">
        <v>389</v>
      </c>
      <c r="B390" s="8">
        <v>2</v>
      </c>
      <c r="C390" s="9" t="s">
        <v>738</v>
      </c>
      <c r="D390" s="10" t="s">
        <v>739</v>
      </c>
      <c r="E390" s="79">
        <v>36.583438334</v>
      </c>
      <c r="F390" s="79">
        <v>35.522232586999998</v>
      </c>
      <c r="G390" s="79">
        <v>33.927442546999998</v>
      </c>
      <c r="H390" s="79">
        <v>34.605199208000002</v>
      </c>
      <c r="I390" s="79">
        <v>41.554555706999999</v>
      </c>
      <c r="J390" s="79">
        <v>38.846639738</v>
      </c>
      <c r="K390" s="79">
        <v>40.476809684999999</v>
      </c>
      <c r="L390" s="79">
        <v>43.805520215000001</v>
      </c>
      <c r="M390" s="79">
        <v>41.805614788</v>
      </c>
      <c r="N390" s="79">
        <v>44.583120143999999</v>
      </c>
      <c r="O390" s="79">
        <v>41.632081896000003</v>
      </c>
      <c r="P390" s="79">
        <v>39.346442904</v>
      </c>
      <c r="Q390" s="79">
        <v>42.562538203999999</v>
      </c>
      <c r="R390" s="79">
        <v>48.424897211000001</v>
      </c>
      <c r="S390" s="79">
        <v>51.906608624</v>
      </c>
      <c r="T390" s="79">
        <v>31.299967990999999</v>
      </c>
    </row>
    <row r="391" spans="1:20" x14ac:dyDescent="0.2">
      <c r="A391" s="11">
        <v>390</v>
      </c>
      <c r="B391" s="11">
        <v>3</v>
      </c>
      <c r="C391" s="12" t="s">
        <v>740</v>
      </c>
      <c r="D391" s="13" t="s">
        <v>739</v>
      </c>
      <c r="E391" s="80">
        <v>36.583438334</v>
      </c>
      <c r="F391" s="80">
        <v>35.522232586999998</v>
      </c>
      <c r="G391" s="80">
        <v>33.927442546999998</v>
      </c>
      <c r="H391" s="80">
        <v>34.605199208000002</v>
      </c>
      <c r="I391" s="80">
        <v>41.554555706999999</v>
      </c>
      <c r="J391" s="80">
        <v>38.846639738</v>
      </c>
      <c r="K391" s="80">
        <v>40.476809684999999</v>
      </c>
      <c r="L391" s="80">
        <v>43.805520215000001</v>
      </c>
      <c r="M391" s="80">
        <v>41.805614788</v>
      </c>
      <c r="N391" s="80">
        <v>44.583120143999999</v>
      </c>
      <c r="O391" s="80">
        <v>41.632081896000003</v>
      </c>
      <c r="P391" s="80">
        <v>39.346442904</v>
      </c>
      <c r="Q391" s="80">
        <v>42.562538203999999</v>
      </c>
      <c r="R391" s="80">
        <v>48.424897211000001</v>
      </c>
      <c r="S391" s="80">
        <v>51.906608624</v>
      </c>
      <c r="T391" s="80">
        <v>31.299967990999999</v>
      </c>
    </row>
    <row r="392" spans="1:20" x14ac:dyDescent="0.2">
      <c r="A392" s="8">
        <v>391</v>
      </c>
      <c r="B392" s="8">
        <v>2</v>
      </c>
      <c r="C392" s="9" t="s">
        <v>741</v>
      </c>
      <c r="D392" s="10" t="s">
        <v>742</v>
      </c>
      <c r="E392" s="79">
        <v>83.289371557999999</v>
      </c>
      <c r="F392" s="79">
        <v>95.733535063000005</v>
      </c>
      <c r="G392" s="79">
        <v>100.19365866</v>
      </c>
      <c r="H392" s="79">
        <v>87.332983988999999</v>
      </c>
      <c r="I392" s="79">
        <v>106.09924963</v>
      </c>
      <c r="J392" s="79">
        <v>92.377500089999998</v>
      </c>
      <c r="K392" s="79">
        <v>109.33806472000001</v>
      </c>
      <c r="L392" s="79">
        <v>108.2871605</v>
      </c>
      <c r="M392" s="79">
        <v>115.34792907000001</v>
      </c>
      <c r="N392" s="79">
        <v>96.889934382999996</v>
      </c>
      <c r="O392" s="79">
        <v>109.83899932999999</v>
      </c>
      <c r="P392" s="79">
        <v>125.41461502999999</v>
      </c>
      <c r="Q392" s="79">
        <v>124.5729405</v>
      </c>
      <c r="R392" s="79">
        <v>132.33002678</v>
      </c>
      <c r="S392" s="79">
        <v>141.24040532000001</v>
      </c>
      <c r="T392" s="79">
        <v>77.983583132000007</v>
      </c>
    </row>
    <row r="393" spans="1:20" x14ac:dyDescent="0.2">
      <c r="A393" s="11">
        <v>392</v>
      </c>
      <c r="B393" s="11">
        <v>3</v>
      </c>
      <c r="C393" s="12" t="s">
        <v>743</v>
      </c>
      <c r="D393" s="13" t="s">
        <v>744</v>
      </c>
      <c r="E393" s="80">
        <v>0.8108410466</v>
      </c>
      <c r="F393" s="80">
        <v>0.57095123950000004</v>
      </c>
      <c r="G393" s="80">
        <v>0.47933389929999998</v>
      </c>
      <c r="H393" s="80">
        <v>5.6004152100000003E-2</v>
      </c>
      <c r="I393" s="80">
        <v>1.2081751843999999</v>
      </c>
      <c r="J393" s="80">
        <v>0.77694078310000003</v>
      </c>
      <c r="K393" s="80">
        <v>2.0602723011999999</v>
      </c>
      <c r="L393" s="80">
        <v>1.5607289192</v>
      </c>
      <c r="M393" s="80">
        <v>0.58892290120000002</v>
      </c>
      <c r="N393" s="80">
        <v>0.53274644280000005</v>
      </c>
      <c r="O393" s="80">
        <v>0.11982845540000001</v>
      </c>
      <c r="P393" s="80">
        <v>2.8324628214000001</v>
      </c>
      <c r="Q393" s="80">
        <v>5.9694564557999996</v>
      </c>
      <c r="R393" s="80">
        <v>0.62240336730000001</v>
      </c>
      <c r="S393" s="80">
        <v>0.45739734830000001</v>
      </c>
      <c r="T393" s="80">
        <v>1.3535928243999999</v>
      </c>
    </row>
    <row r="394" spans="1:20" x14ac:dyDescent="0.2">
      <c r="A394" s="11">
        <v>393</v>
      </c>
      <c r="B394" s="11">
        <v>3</v>
      </c>
      <c r="C394" s="12" t="s">
        <v>745</v>
      </c>
      <c r="D394" s="13" t="s">
        <v>746</v>
      </c>
      <c r="E394" s="80">
        <v>65.452821095999994</v>
      </c>
      <c r="F394" s="80">
        <v>74.068238269000005</v>
      </c>
      <c r="G394" s="80">
        <v>77.418512125999996</v>
      </c>
      <c r="H394" s="80">
        <v>71.852547263999995</v>
      </c>
      <c r="I394" s="80">
        <v>82.682955500999995</v>
      </c>
      <c r="J394" s="80">
        <v>72.299965619999995</v>
      </c>
      <c r="K394" s="80">
        <v>87.054625740000006</v>
      </c>
      <c r="L394" s="80">
        <v>88.969665680999995</v>
      </c>
      <c r="M394" s="80">
        <v>95.417386807</v>
      </c>
      <c r="N394" s="80">
        <v>77.480751923</v>
      </c>
      <c r="O394" s="80">
        <v>95.288592808999994</v>
      </c>
      <c r="P394" s="80">
        <v>99.249964441000003</v>
      </c>
      <c r="Q394" s="80">
        <v>91.948592136000002</v>
      </c>
      <c r="R394" s="80">
        <v>105.23284178999999</v>
      </c>
      <c r="S394" s="80">
        <v>116.68898767</v>
      </c>
      <c r="T394" s="80">
        <v>60.776195391000002</v>
      </c>
    </row>
    <row r="395" spans="1:20" x14ac:dyDescent="0.2">
      <c r="A395" s="11">
        <v>394</v>
      </c>
      <c r="B395" s="11">
        <v>3</v>
      </c>
      <c r="C395" s="12" t="s">
        <v>747</v>
      </c>
      <c r="D395" s="13" t="s">
        <v>748</v>
      </c>
      <c r="E395" s="80">
        <v>8.8346233077999994</v>
      </c>
      <c r="F395" s="80">
        <v>9.9453143987000008</v>
      </c>
      <c r="G395" s="80">
        <v>9.4271735558999996</v>
      </c>
      <c r="H395" s="80">
        <v>7.5201359011999998</v>
      </c>
      <c r="I395" s="80">
        <v>13.444846393000001</v>
      </c>
      <c r="J395" s="80">
        <v>11.25510884</v>
      </c>
      <c r="K395" s="80">
        <v>8.5997161936000008</v>
      </c>
      <c r="L395" s="80">
        <v>8.4045439084000009</v>
      </c>
      <c r="M395" s="80">
        <v>7.9893707468999997</v>
      </c>
      <c r="N395" s="80">
        <v>7.5381227604000003</v>
      </c>
      <c r="O395" s="80">
        <v>6.3324923851000001</v>
      </c>
      <c r="P395" s="80">
        <v>12.159866881999999</v>
      </c>
      <c r="Q395" s="80">
        <v>14.061428769999999</v>
      </c>
      <c r="R395" s="80">
        <v>10.987167543</v>
      </c>
      <c r="S395" s="80">
        <v>5.7968796159</v>
      </c>
      <c r="T395" s="80">
        <v>9.5580751222</v>
      </c>
    </row>
    <row r="396" spans="1:20" x14ac:dyDescent="0.2">
      <c r="A396" s="11">
        <v>395</v>
      </c>
      <c r="B396" s="11">
        <v>3</v>
      </c>
      <c r="C396" s="12" t="s">
        <v>749</v>
      </c>
      <c r="D396" s="13" t="s">
        <v>750</v>
      </c>
      <c r="E396" s="80">
        <v>8.5889561411000006</v>
      </c>
      <c r="F396" s="80">
        <v>12.107426239</v>
      </c>
      <c r="G396" s="80">
        <v>14.331073699999999</v>
      </c>
      <c r="H396" s="80">
        <v>9.2631125524000009</v>
      </c>
      <c r="I396" s="80">
        <v>10.328216394</v>
      </c>
      <c r="J396" s="80">
        <v>9.3747234661000007</v>
      </c>
      <c r="K396" s="80">
        <v>12.708670295999999</v>
      </c>
      <c r="L396" s="80">
        <v>9.2543824569000002</v>
      </c>
      <c r="M396" s="80">
        <v>10.463202842999999</v>
      </c>
      <c r="N396" s="80">
        <v>10.589807339</v>
      </c>
      <c r="O396" s="80">
        <v>6.6835775048999997</v>
      </c>
      <c r="P396" s="80">
        <v>11.056191868000001</v>
      </c>
      <c r="Q396" s="80">
        <v>14.114457358999999</v>
      </c>
      <c r="R396" s="80">
        <v>15.133398537</v>
      </c>
      <c r="S396" s="80">
        <v>17.913346033</v>
      </c>
      <c r="T396" s="80">
        <v>6.1818625282999999</v>
      </c>
    </row>
    <row r="397" spans="1:20" x14ac:dyDescent="0.2">
      <c r="A397" s="8">
        <v>396</v>
      </c>
      <c r="B397" s="8">
        <v>2</v>
      </c>
      <c r="C397" s="9" t="s">
        <v>751</v>
      </c>
      <c r="D397" s="10" t="s">
        <v>752</v>
      </c>
      <c r="E397" s="79">
        <v>21.764198400000001</v>
      </c>
      <c r="F397" s="79">
        <v>25.469245487999999</v>
      </c>
      <c r="G397" s="79">
        <v>25.753295398999999</v>
      </c>
      <c r="H397" s="79">
        <v>22.138278145000001</v>
      </c>
      <c r="I397" s="79">
        <v>22.845009833999999</v>
      </c>
      <c r="J397" s="79">
        <v>30.411185875000001</v>
      </c>
      <c r="K397" s="79">
        <v>29.379535271000002</v>
      </c>
      <c r="L397" s="79">
        <v>24.631029548000001</v>
      </c>
      <c r="M397" s="79">
        <v>30.387766264</v>
      </c>
      <c r="N397" s="79">
        <v>22.435428156</v>
      </c>
      <c r="O397" s="79">
        <v>33.383386825999999</v>
      </c>
      <c r="P397" s="79">
        <v>23.580764534</v>
      </c>
      <c r="Q397" s="79">
        <v>25.585509027000001</v>
      </c>
      <c r="R397" s="79">
        <v>30.388968825999999</v>
      </c>
      <c r="S397" s="79">
        <v>32.588250541000001</v>
      </c>
      <c r="T397" s="79">
        <v>19.177631772000002</v>
      </c>
    </row>
    <row r="398" spans="1:20" x14ac:dyDescent="0.2">
      <c r="A398" s="11">
        <v>397</v>
      </c>
      <c r="B398" s="11">
        <v>3</v>
      </c>
      <c r="C398" s="12" t="s">
        <v>753</v>
      </c>
      <c r="D398" s="13" t="s">
        <v>752</v>
      </c>
      <c r="E398" s="80">
        <v>21.764198400000001</v>
      </c>
      <c r="F398" s="80">
        <v>25.469245487999999</v>
      </c>
      <c r="G398" s="80">
        <v>25.753295398999999</v>
      </c>
      <c r="H398" s="80">
        <v>22.138278145000001</v>
      </c>
      <c r="I398" s="80">
        <v>22.845009833999999</v>
      </c>
      <c r="J398" s="80">
        <v>30.411185875000001</v>
      </c>
      <c r="K398" s="80">
        <v>29.379535271000002</v>
      </c>
      <c r="L398" s="80">
        <v>24.631029548000001</v>
      </c>
      <c r="M398" s="80">
        <v>30.387766264</v>
      </c>
      <c r="N398" s="80">
        <v>22.435428156</v>
      </c>
      <c r="O398" s="80">
        <v>33.383386825999999</v>
      </c>
      <c r="P398" s="80">
        <v>23.580764534</v>
      </c>
      <c r="Q398" s="80">
        <v>25.585509027000001</v>
      </c>
      <c r="R398" s="80">
        <v>30.388968825999999</v>
      </c>
      <c r="S398" s="80">
        <v>32.588250541000001</v>
      </c>
      <c r="T398" s="80">
        <v>19.177631772000002</v>
      </c>
    </row>
    <row r="399" spans="1:20" x14ac:dyDescent="0.2">
      <c r="A399" s="8">
        <v>398</v>
      </c>
      <c r="B399" s="8">
        <v>2</v>
      </c>
      <c r="C399" s="9" t="s">
        <v>754</v>
      </c>
      <c r="D399" s="10" t="s">
        <v>755</v>
      </c>
      <c r="E399" s="79">
        <v>7.0118444264999997</v>
      </c>
      <c r="F399" s="79">
        <v>1.4603350762</v>
      </c>
      <c r="G399" s="79">
        <v>2.1167339652999999</v>
      </c>
      <c r="H399" s="79">
        <v>2.2404374416000001</v>
      </c>
      <c r="I399" s="79">
        <v>2.3535050801000001</v>
      </c>
      <c r="J399" s="79">
        <v>2.0824297756000001</v>
      </c>
      <c r="K399" s="79">
        <v>1.4083466475999999</v>
      </c>
      <c r="L399" s="79">
        <v>1.6570101537999999</v>
      </c>
      <c r="M399" s="79">
        <v>3.0367515810999999</v>
      </c>
      <c r="N399" s="79">
        <v>2.4079873996000001</v>
      </c>
      <c r="O399" s="79">
        <v>2.5589427047000002</v>
      </c>
      <c r="P399" s="79">
        <v>1.2201575898000001</v>
      </c>
      <c r="Q399" s="79">
        <v>1.9200520366</v>
      </c>
      <c r="R399" s="79">
        <v>9.3071426700000001E-2</v>
      </c>
      <c r="S399" s="79">
        <v>9.5188668000000004E-2</v>
      </c>
      <c r="T399" s="79">
        <v>9.7562578900000002E-2</v>
      </c>
    </row>
    <row r="400" spans="1:20" x14ac:dyDescent="0.2">
      <c r="A400" s="11">
        <v>399</v>
      </c>
      <c r="B400" s="11">
        <v>3</v>
      </c>
      <c r="C400" s="12" t="s">
        <v>756</v>
      </c>
      <c r="D400" s="13" t="s">
        <v>755</v>
      </c>
      <c r="E400" s="80">
        <v>7.0118444264999997</v>
      </c>
      <c r="F400" s="80">
        <v>1.4603350762</v>
      </c>
      <c r="G400" s="80">
        <v>2.1167339652999999</v>
      </c>
      <c r="H400" s="80">
        <v>2.2404374416000001</v>
      </c>
      <c r="I400" s="80">
        <v>2.3535050801000001</v>
      </c>
      <c r="J400" s="80">
        <v>2.0824297756000001</v>
      </c>
      <c r="K400" s="80">
        <v>1.4083466475999999</v>
      </c>
      <c r="L400" s="80">
        <v>1.6570101537999999</v>
      </c>
      <c r="M400" s="80">
        <v>3.0367515810999999</v>
      </c>
      <c r="N400" s="80">
        <v>2.4079873996000001</v>
      </c>
      <c r="O400" s="80">
        <v>2.5589427047000002</v>
      </c>
      <c r="P400" s="80">
        <v>1.2201575898000001</v>
      </c>
      <c r="Q400" s="80">
        <v>1.9200520366</v>
      </c>
      <c r="R400" s="80">
        <v>9.3071426700000001E-2</v>
      </c>
      <c r="S400" s="80">
        <v>9.5188668000000004E-2</v>
      </c>
      <c r="T400" s="80">
        <v>9.7562578900000002E-2</v>
      </c>
    </row>
    <row r="401" spans="1:20" ht="15" x14ac:dyDescent="0.25">
      <c r="A401" s="4">
        <v>400</v>
      </c>
      <c r="B401" s="4">
        <v>1</v>
      </c>
      <c r="C401" s="5" t="s">
        <v>757</v>
      </c>
      <c r="D401" s="6" t="s">
        <v>758</v>
      </c>
      <c r="E401" s="78">
        <v>395.37146819999998</v>
      </c>
      <c r="F401" s="78">
        <v>427.66340680000002</v>
      </c>
      <c r="G401" s="78">
        <v>432.23559740000002</v>
      </c>
      <c r="H401" s="78">
        <v>444.38356640000001</v>
      </c>
      <c r="I401" s="78">
        <v>441.76948499999997</v>
      </c>
      <c r="J401" s="78">
        <v>453.81170689999999</v>
      </c>
      <c r="K401" s="78">
        <v>440.47014309999997</v>
      </c>
      <c r="L401" s="78">
        <v>440.65425670000002</v>
      </c>
      <c r="M401" s="78">
        <v>451.2928713</v>
      </c>
      <c r="N401" s="78">
        <v>499.98890999999998</v>
      </c>
      <c r="O401" s="78">
        <v>478.63300959999998</v>
      </c>
      <c r="P401" s="78">
        <v>478.55634789999999</v>
      </c>
      <c r="Q401" s="78">
        <v>497.87416910000002</v>
      </c>
      <c r="R401" s="78">
        <v>469.3476938</v>
      </c>
      <c r="S401" s="78">
        <v>515.06555820000005</v>
      </c>
      <c r="T401" s="78">
        <v>435.84017249999999</v>
      </c>
    </row>
    <row r="402" spans="1:20" x14ac:dyDescent="0.2">
      <c r="A402" s="8">
        <v>401</v>
      </c>
      <c r="B402" s="8">
        <v>2</v>
      </c>
      <c r="C402" s="9" t="s">
        <v>759</v>
      </c>
      <c r="D402" s="10" t="s">
        <v>760</v>
      </c>
      <c r="E402" s="79">
        <v>200.32500894</v>
      </c>
      <c r="F402" s="79">
        <v>217.01004646000001</v>
      </c>
      <c r="G402" s="79">
        <v>221.69381981999999</v>
      </c>
      <c r="H402" s="79">
        <v>210.69592266000001</v>
      </c>
      <c r="I402" s="79">
        <v>220.99996467</v>
      </c>
      <c r="J402" s="79">
        <v>229.41306001000001</v>
      </c>
      <c r="K402" s="79">
        <v>228.05917288000001</v>
      </c>
      <c r="L402" s="79">
        <v>203.66616443000001</v>
      </c>
      <c r="M402" s="79">
        <v>213.96733381999999</v>
      </c>
      <c r="N402" s="79">
        <v>244.67239792999999</v>
      </c>
      <c r="O402" s="79">
        <v>230.66289694</v>
      </c>
      <c r="P402" s="79">
        <v>226.36416363000001</v>
      </c>
      <c r="Q402" s="79">
        <v>224.03155808</v>
      </c>
      <c r="R402" s="79">
        <v>223.16737465</v>
      </c>
      <c r="S402" s="79">
        <v>228.52062809</v>
      </c>
      <c r="T402" s="79">
        <v>215.91681403000001</v>
      </c>
    </row>
    <row r="403" spans="1:20" x14ac:dyDescent="0.2">
      <c r="A403" s="11">
        <v>402</v>
      </c>
      <c r="B403" s="11">
        <v>3</v>
      </c>
      <c r="C403" s="12" t="s">
        <v>761</v>
      </c>
      <c r="D403" s="13" t="s">
        <v>762</v>
      </c>
      <c r="E403" s="80">
        <v>0.1037760362</v>
      </c>
      <c r="F403" s="80">
        <v>0.104894934</v>
      </c>
      <c r="G403" s="80">
        <v>0.1042281747</v>
      </c>
      <c r="H403" s="80">
        <v>0.1019791186</v>
      </c>
      <c r="I403" s="80">
        <v>9.8780753799999996E-2</v>
      </c>
      <c r="J403" s="80">
        <v>9.5347609700000002E-2</v>
      </c>
      <c r="K403" s="80">
        <v>9.3167127000000002E-2</v>
      </c>
      <c r="L403" s="80">
        <v>9.1269237700000005E-2</v>
      </c>
      <c r="M403" s="80">
        <v>8.8158633299999997E-2</v>
      </c>
      <c r="N403" s="80">
        <v>8.1526970399999996E-2</v>
      </c>
      <c r="O403" s="80">
        <v>7.5508370599999999E-2</v>
      </c>
      <c r="P403" s="80">
        <v>7.1920365E-2</v>
      </c>
      <c r="Q403" s="80">
        <v>0.55617431640000004</v>
      </c>
      <c r="R403" s="80">
        <v>0.29641413719999998</v>
      </c>
      <c r="S403" s="80">
        <v>7.6432357500000006E-2</v>
      </c>
      <c r="T403" s="80">
        <v>0.37242500220000002</v>
      </c>
    </row>
    <row r="404" spans="1:20" x14ac:dyDescent="0.2">
      <c r="A404" s="11">
        <v>403</v>
      </c>
      <c r="B404" s="11">
        <v>3</v>
      </c>
      <c r="C404" s="12" t="s">
        <v>763</v>
      </c>
      <c r="D404" s="13" t="s">
        <v>764</v>
      </c>
      <c r="E404" s="80">
        <v>133.79229072999999</v>
      </c>
      <c r="F404" s="80">
        <v>140.65151413999999</v>
      </c>
      <c r="G404" s="80">
        <v>133.61098147000001</v>
      </c>
      <c r="H404" s="80">
        <v>131.49991169</v>
      </c>
      <c r="I404" s="80">
        <v>138.72677177</v>
      </c>
      <c r="J404" s="80">
        <v>139.70370320999999</v>
      </c>
      <c r="K404" s="80">
        <v>147.20871579999999</v>
      </c>
      <c r="L404" s="80">
        <v>111.33100215</v>
      </c>
      <c r="M404" s="80">
        <v>130.87230600000001</v>
      </c>
      <c r="N404" s="80">
        <v>149.62041044</v>
      </c>
      <c r="O404" s="80">
        <v>138.30175535999999</v>
      </c>
      <c r="P404" s="80">
        <v>142.62918884999999</v>
      </c>
      <c r="Q404" s="80">
        <v>145.02230220000001</v>
      </c>
      <c r="R404" s="80">
        <v>148.2822238</v>
      </c>
      <c r="S404" s="80">
        <v>140.70900047000001</v>
      </c>
      <c r="T404" s="80">
        <v>136.59298705</v>
      </c>
    </row>
    <row r="405" spans="1:20" x14ac:dyDescent="0.2">
      <c r="A405" s="11">
        <v>404</v>
      </c>
      <c r="B405" s="11">
        <v>3</v>
      </c>
      <c r="C405" s="12" t="s">
        <v>765</v>
      </c>
      <c r="D405" s="13" t="s">
        <v>766</v>
      </c>
      <c r="E405" s="80">
        <v>63.175388093999999</v>
      </c>
      <c r="F405" s="80">
        <v>72.618566604999998</v>
      </c>
      <c r="G405" s="80">
        <v>83.24998669</v>
      </c>
      <c r="H405" s="80">
        <v>74.751231411999996</v>
      </c>
      <c r="I405" s="80">
        <v>74.836561555000003</v>
      </c>
      <c r="J405" s="80">
        <v>83.629015171000006</v>
      </c>
      <c r="K405" s="80">
        <v>77.361280125999997</v>
      </c>
      <c r="L405" s="80">
        <v>85.348970953000006</v>
      </c>
      <c r="M405" s="80">
        <v>72.929329111000001</v>
      </c>
      <c r="N405" s="80">
        <v>84.198481431999994</v>
      </c>
      <c r="O405" s="80">
        <v>82.445877912</v>
      </c>
      <c r="P405" s="80">
        <v>78.992914013999993</v>
      </c>
      <c r="Q405" s="80">
        <v>68.395957342000003</v>
      </c>
      <c r="R405" s="80">
        <v>66.267615720999999</v>
      </c>
      <c r="S405" s="80">
        <v>79.916218129000001</v>
      </c>
      <c r="T405" s="80">
        <v>69.209416082999994</v>
      </c>
    </row>
    <row r="406" spans="1:20" x14ac:dyDescent="0.2">
      <c r="A406" s="11">
        <v>405</v>
      </c>
      <c r="B406" s="11">
        <v>3</v>
      </c>
      <c r="C406" s="12" t="s">
        <v>767</v>
      </c>
      <c r="D406" s="13" t="s">
        <v>768</v>
      </c>
      <c r="E406" s="80">
        <v>5.5071091559000003</v>
      </c>
      <c r="F406" s="80">
        <v>6.4692437615999996</v>
      </c>
      <c r="G406" s="80">
        <v>8.3197188290999993</v>
      </c>
      <c r="H406" s="80">
        <v>7.8607690415000002</v>
      </c>
      <c r="I406" s="80">
        <v>11.337529064</v>
      </c>
      <c r="J406" s="80">
        <v>10.007565318999999</v>
      </c>
      <c r="K406" s="80">
        <v>6.2701922905999998</v>
      </c>
      <c r="L406" s="80">
        <v>7.7571789953000003</v>
      </c>
      <c r="M406" s="80">
        <v>9.8406262672999993</v>
      </c>
      <c r="N406" s="80">
        <v>9.2273643274000001</v>
      </c>
      <c r="O406" s="80">
        <v>8.3295589548999995</v>
      </c>
      <c r="P406" s="80">
        <v>3.5751302293</v>
      </c>
      <c r="Q406" s="80">
        <v>10.186499023</v>
      </c>
      <c r="R406" s="80">
        <v>9.0277944780000006</v>
      </c>
      <c r="S406" s="80">
        <v>9.4533754494999993</v>
      </c>
      <c r="T406" s="80">
        <v>10.982738083999999</v>
      </c>
    </row>
    <row r="407" spans="1:20" x14ac:dyDescent="0.2">
      <c r="A407" s="8">
        <v>406</v>
      </c>
      <c r="B407" s="8">
        <v>2</v>
      </c>
      <c r="C407" s="9" t="s">
        <v>769</v>
      </c>
      <c r="D407" s="10" t="s">
        <v>770</v>
      </c>
      <c r="E407" s="79">
        <v>193.73622336</v>
      </c>
      <c r="F407" s="79">
        <v>208.32678849000001</v>
      </c>
      <c r="G407" s="79">
        <v>206.40326684999999</v>
      </c>
      <c r="H407" s="79">
        <v>231.27507915999999</v>
      </c>
      <c r="I407" s="79">
        <v>216.88198087999999</v>
      </c>
      <c r="J407" s="79">
        <v>222.12838060000001</v>
      </c>
      <c r="K407" s="79">
        <v>209.34050553</v>
      </c>
      <c r="L407" s="79">
        <v>232.50357736000001</v>
      </c>
      <c r="M407" s="79">
        <v>233.65906598000001</v>
      </c>
      <c r="N407" s="79">
        <v>250.89946293</v>
      </c>
      <c r="O407" s="79">
        <v>245.82021270000001</v>
      </c>
      <c r="P407" s="79">
        <v>248.62726857000001</v>
      </c>
      <c r="Q407" s="79">
        <v>269.95454081999998</v>
      </c>
      <c r="R407" s="79">
        <v>247.78983172</v>
      </c>
      <c r="S407" s="79">
        <v>288.46194759999997</v>
      </c>
      <c r="T407" s="79">
        <v>222.92305117000001</v>
      </c>
    </row>
    <row r="408" spans="1:20" x14ac:dyDescent="0.2">
      <c r="A408" s="11">
        <v>407</v>
      </c>
      <c r="B408" s="11">
        <v>3</v>
      </c>
      <c r="C408" s="12" t="s">
        <v>771</v>
      </c>
      <c r="D408" s="13" t="s">
        <v>772</v>
      </c>
      <c r="E408" s="80">
        <v>8.4308258799999994E-2</v>
      </c>
      <c r="F408" s="80">
        <v>9.0174106399999995E-2</v>
      </c>
      <c r="G408" s="80">
        <v>9.6771112100000001E-2</v>
      </c>
      <c r="H408" s="80">
        <v>0.1003366807</v>
      </c>
      <c r="I408" s="80">
        <v>0.101374661</v>
      </c>
      <c r="J408" s="80">
        <v>0.1015863904</v>
      </c>
      <c r="K408" s="80">
        <v>0.10154239850000001</v>
      </c>
      <c r="L408" s="80">
        <v>0.10231661960000001</v>
      </c>
      <c r="M408" s="80">
        <v>0.10350561599999999</v>
      </c>
      <c r="N408" s="80">
        <v>0.1051631002</v>
      </c>
      <c r="O408" s="80">
        <v>0.10827153890000001</v>
      </c>
      <c r="P408" s="80">
        <v>0.1140289296</v>
      </c>
      <c r="Q408" s="80">
        <v>0.1215119913</v>
      </c>
      <c r="R408" s="80">
        <v>0.12879046399999999</v>
      </c>
      <c r="S408" s="80">
        <v>0.1348445831</v>
      </c>
      <c r="T408" s="80">
        <v>0.13934829379999999</v>
      </c>
    </row>
    <row r="409" spans="1:20" x14ac:dyDescent="0.2">
      <c r="A409" s="11">
        <v>408</v>
      </c>
      <c r="B409" s="11">
        <v>3</v>
      </c>
      <c r="C409" s="12" t="s">
        <v>773</v>
      </c>
      <c r="D409" s="13" t="s">
        <v>774</v>
      </c>
      <c r="E409" s="80">
        <v>81.361672872</v>
      </c>
      <c r="F409" s="80">
        <v>83.504237947999997</v>
      </c>
      <c r="G409" s="80">
        <v>82.683668105999999</v>
      </c>
      <c r="H409" s="80">
        <v>93.646063623000003</v>
      </c>
      <c r="I409" s="80">
        <v>87.196074296999996</v>
      </c>
      <c r="J409" s="80">
        <v>84.936994967000004</v>
      </c>
      <c r="K409" s="80">
        <v>75.582433547999997</v>
      </c>
      <c r="L409" s="80">
        <v>100.45109060999999</v>
      </c>
      <c r="M409" s="80">
        <v>100.91592228</v>
      </c>
      <c r="N409" s="80">
        <v>94.707848849000001</v>
      </c>
      <c r="O409" s="80">
        <v>105.96949588</v>
      </c>
      <c r="P409" s="80">
        <v>108.51048722</v>
      </c>
      <c r="Q409" s="80">
        <v>104.61583234</v>
      </c>
      <c r="R409" s="80">
        <v>114.26595312000001</v>
      </c>
      <c r="S409" s="80">
        <v>137.42073252</v>
      </c>
      <c r="T409" s="80">
        <v>95.911110370000003</v>
      </c>
    </row>
    <row r="410" spans="1:20" x14ac:dyDescent="0.2">
      <c r="A410" s="11">
        <v>409</v>
      </c>
      <c r="B410" s="11">
        <v>3</v>
      </c>
      <c r="C410" s="12" t="s">
        <v>775</v>
      </c>
      <c r="D410" s="13" t="s">
        <v>776</v>
      </c>
      <c r="E410" s="80">
        <v>6.2235320255</v>
      </c>
      <c r="F410" s="80">
        <v>6.4169670646999997</v>
      </c>
      <c r="G410" s="80">
        <v>4.2006411743000003</v>
      </c>
      <c r="H410" s="80">
        <v>7.6672525601999997</v>
      </c>
      <c r="I410" s="80">
        <v>2.8166883477</v>
      </c>
      <c r="J410" s="80">
        <v>5.0253139238999998</v>
      </c>
      <c r="K410" s="80">
        <v>6.7382285326</v>
      </c>
      <c r="L410" s="80">
        <v>6.3486276945000002</v>
      </c>
      <c r="M410" s="80">
        <v>6.7787449433999996</v>
      </c>
      <c r="N410" s="80">
        <v>5.7928683393</v>
      </c>
      <c r="O410" s="80">
        <v>3.6976717080000001</v>
      </c>
      <c r="P410" s="80">
        <v>7.4746076277000002</v>
      </c>
      <c r="Q410" s="80">
        <v>4.6295310118000002</v>
      </c>
      <c r="R410" s="80">
        <v>6.5256158645999998</v>
      </c>
      <c r="S410" s="80">
        <v>8.8304660947000002</v>
      </c>
      <c r="T410" s="80">
        <v>7.7242757282000003</v>
      </c>
    </row>
    <row r="411" spans="1:20" x14ac:dyDescent="0.2">
      <c r="A411" s="11">
        <v>410</v>
      </c>
      <c r="B411" s="11">
        <v>3</v>
      </c>
      <c r="C411" s="12" t="s">
        <v>777</v>
      </c>
      <c r="D411" s="13" t="s">
        <v>778</v>
      </c>
      <c r="E411" s="80">
        <v>48.934092282000002</v>
      </c>
      <c r="F411" s="80">
        <v>51.311851822999998</v>
      </c>
      <c r="G411" s="80">
        <v>47.560847619</v>
      </c>
      <c r="H411" s="80">
        <v>59.292407353999998</v>
      </c>
      <c r="I411" s="80">
        <v>53.921780710999997</v>
      </c>
      <c r="J411" s="80">
        <v>55.990386166</v>
      </c>
      <c r="K411" s="80">
        <v>51.749953140999999</v>
      </c>
      <c r="L411" s="80">
        <v>57.136615040999999</v>
      </c>
      <c r="M411" s="80">
        <v>53.615492392999997</v>
      </c>
      <c r="N411" s="80">
        <v>63.080376774000001</v>
      </c>
      <c r="O411" s="80">
        <v>57.736169760000003</v>
      </c>
      <c r="P411" s="80">
        <v>57.562845322999998</v>
      </c>
      <c r="Q411" s="80">
        <v>70.567310298999999</v>
      </c>
      <c r="R411" s="80">
        <v>57.233473263</v>
      </c>
      <c r="S411" s="80">
        <v>61.519612846999998</v>
      </c>
      <c r="T411" s="80">
        <v>49.433842816999999</v>
      </c>
    </row>
    <row r="412" spans="1:20" x14ac:dyDescent="0.2">
      <c r="A412" s="11">
        <v>411</v>
      </c>
      <c r="B412" s="11">
        <v>3</v>
      </c>
      <c r="C412" s="12" t="s">
        <v>779</v>
      </c>
      <c r="D412" s="13" t="s">
        <v>780</v>
      </c>
      <c r="E412" s="80">
        <v>28.689067672</v>
      </c>
      <c r="F412" s="80">
        <v>32.185592483999997</v>
      </c>
      <c r="G412" s="80">
        <v>32.694405777</v>
      </c>
      <c r="H412" s="80">
        <v>31.689886904000002</v>
      </c>
      <c r="I412" s="80">
        <v>29.363146274999998</v>
      </c>
      <c r="J412" s="80">
        <v>33.972180090000002</v>
      </c>
      <c r="K412" s="80">
        <v>34.774625057999998</v>
      </c>
      <c r="L412" s="80">
        <v>28.936462891000001</v>
      </c>
      <c r="M412" s="80">
        <v>31.130296796</v>
      </c>
      <c r="N412" s="80">
        <v>37.245875322000003</v>
      </c>
      <c r="O412" s="80">
        <v>28.219642465</v>
      </c>
      <c r="P412" s="80">
        <v>31.688658708999998</v>
      </c>
      <c r="Q412" s="80">
        <v>43.336320223999998</v>
      </c>
      <c r="R412" s="80">
        <v>37.248422720000001</v>
      </c>
      <c r="S412" s="80">
        <v>29.548344952000001</v>
      </c>
      <c r="T412" s="80">
        <v>24.923689636999999</v>
      </c>
    </row>
    <row r="413" spans="1:20" x14ac:dyDescent="0.2">
      <c r="A413" s="11">
        <v>412</v>
      </c>
      <c r="B413" s="11">
        <v>3</v>
      </c>
      <c r="C413" s="12" t="s">
        <v>781</v>
      </c>
      <c r="D413" s="13" t="s">
        <v>782</v>
      </c>
      <c r="E413" s="80">
        <v>26.877577849000001</v>
      </c>
      <c r="F413" s="80">
        <v>33.317931362000003</v>
      </c>
      <c r="G413" s="80">
        <v>37.368693475000001</v>
      </c>
      <c r="H413" s="80">
        <v>36.651096170999999</v>
      </c>
      <c r="I413" s="80">
        <v>41.166173688000001</v>
      </c>
      <c r="J413" s="80">
        <v>39.905572556000003</v>
      </c>
      <c r="K413" s="80">
        <v>38.816991991000002</v>
      </c>
      <c r="L413" s="80">
        <v>39.116421246999998</v>
      </c>
      <c r="M413" s="80">
        <v>41.098848887000003</v>
      </c>
      <c r="N413" s="80">
        <v>50.093019751</v>
      </c>
      <c r="O413" s="80">
        <v>49.654216042999998</v>
      </c>
      <c r="P413" s="80">
        <v>43.339171753999999</v>
      </c>
      <c r="Q413" s="80">
        <v>46.318201340000002</v>
      </c>
      <c r="R413" s="80">
        <v>33.425900765000002</v>
      </c>
      <c r="S413" s="80">
        <v>51.431687611999998</v>
      </c>
      <c r="T413" s="80">
        <v>44.636446857999999</v>
      </c>
    </row>
    <row r="414" spans="1:20" x14ac:dyDescent="0.2">
      <c r="A414" s="8">
        <v>413</v>
      </c>
      <c r="B414" s="8">
        <v>2</v>
      </c>
      <c r="C414" s="9" t="s">
        <v>783</v>
      </c>
      <c r="D414" s="10" t="s">
        <v>784</v>
      </c>
      <c r="E414" s="79">
        <v>0.1046392713</v>
      </c>
      <c r="F414" s="79">
        <v>0.54573894830000003</v>
      </c>
      <c r="G414" s="79">
        <v>1.5415521005999999</v>
      </c>
      <c r="H414" s="79">
        <v>1.8283055308</v>
      </c>
      <c r="I414" s="79">
        <v>4.3839352368000002</v>
      </c>
      <c r="J414" s="79">
        <v>3.5486450498000002</v>
      </c>
      <c r="K414" s="79">
        <v>3.9389731776999999</v>
      </c>
      <c r="L414" s="79">
        <v>4.9541706080000001</v>
      </c>
      <c r="M414" s="79">
        <v>4.0415737969999999</v>
      </c>
      <c r="N414" s="79">
        <v>4.7954516419999997</v>
      </c>
      <c r="O414" s="79">
        <v>3.3749334744000001</v>
      </c>
      <c r="P414" s="79">
        <v>5.5075169182000003</v>
      </c>
      <c r="Q414" s="79">
        <v>7.1464430417999996</v>
      </c>
      <c r="R414" s="79">
        <v>3.0092263737999998</v>
      </c>
      <c r="S414" s="79">
        <v>4.3070238994999999</v>
      </c>
      <c r="T414" s="79">
        <v>3.0103322847</v>
      </c>
    </row>
    <row r="415" spans="1:20" x14ac:dyDescent="0.2">
      <c r="A415" s="11">
        <v>414</v>
      </c>
      <c r="B415" s="11">
        <v>3</v>
      </c>
      <c r="C415" s="12" t="s">
        <v>785</v>
      </c>
      <c r="D415" s="13" t="s">
        <v>784</v>
      </c>
      <c r="E415" s="80">
        <v>0.1046392713</v>
      </c>
      <c r="F415" s="80">
        <v>0.54573894830000003</v>
      </c>
      <c r="G415" s="80">
        <v>1.5415521005999999</v>
      </c>
      <c r="H415" s="80">
        <v>1.8283055308</v>
      </c>
      <c r="I415" s="80">
        <v>4.3839352368000002</v>
      </c>
      <c r="J415" s="80">
        <v>3.5486450498000002</v>
      </c>
      <c r="K415" s="80">
        <v>3.9389731776999999</v>
      </c>
      <c r="L415" s="80">
        <v>4.9541706080000001</v>
      </c>
      <c r="M415" s="80">
        <v>4.0415737969999999</v>
      </c>
      <c r="N415" s="80">
        <v>4.7954516419999997</v>
      </c>
      <c r="O415" s="80">
        <v>3.3749334744000001</v>
      </c>
      <c r="P415" s="80">
        <v>5.5075169182000003</v>
      </c>
      <c r="Q415" s="80">
        <v>7.1464430417999996</v>
      </c>
      <c r="R415" s="80">
        <v>3.0092263737999998</v>
      </c>
      <c r="S415" s="80">
        <v>4.3070238994999999</v>
      </c>
      <c r="T415" s="80">
        <v>3.0103322847</v>
      </c>
    </row>
    <row r="416" spans="1:20" x14ac:dyDescent="0.2">
      <c r="A416" s="8">
        <v>415</v>
      </c>
      <c r="B416" s="8">
        <v>2</v>
      </c>
      <c r="C416" s="9" t="s">
        <v>786</v>
      </c>
      <c r="D416" s="10" t="s">
        <v>787</v>
      </c>
      <c r="E416" s="79">
        <v>9.7526887500000006E-2</v>
      </c>
      <c r="F416" s="79">
        <v>0.1006721491</v>
      </c>
      <c r="G416" s="79">
        <v>1.0747477342</v>
      </c>
      <c r="H416" s="79">
        <v>0.1080638719</v>
      </c>
      <c r="I416" s="79">
        <v>0.1081797763</v>
      </c>
      <c r="J416" s="79">
        <v>0.10951297090000001</v>
      </c>
      <c r="K416" s="79">
        <v>0.11164715829999999</v>
      </c>
      <c r="L416" s="79">
        <v>0.1167116164</v>
      </c>
      <c r="M416" s="79">
        <v>0.1118226926</v>
      </c>
      <c r="N416" s="79">
        <v>0.1085269576</v>
      </c>
      <c r="O416" s="79">
        <v>0.1051334281</v>
      </c>
      <c r="P416" s="79">
        <v>0.1003612037</v>
      </c>
      <c r="Q416" s="79">
        <v>0.77478106309999994</v>
      </c>
      <c r="R416" s="79">
        <v>9.6552375499999996E-2</v>
      </c>
      <c r="S416" s="79">
        <v>9.4609178000000002E-2</v>
      </c>
      <c r="T416" s="79">
        <v>9.3053738600000005E-2</v>
      </c>
    </row>
    <row r="417" spans="1:20" x14ac:dyDescent="0.2">
      <c r="A417" s="11">
        <v>416</v>
      </c>
      <c r="B417" s="11">
        <v>3</v>
      </c>
      <c r="C417" s="12" t="s">
        <v>788</v>
      </c>
      <c r="D417" s="13" t="s">
        <v>787</v>
      </c>
      <c r="E417" s="80">
        <v>9.7526887500000006E-2</v>
      </c>
      <c r="F417" s="80">
        <v>0.1006721491</v>
      </c>
      <c r="G417" s="80">
        <v>1.0747477342</v>
      </c>
      <c r="H417" s="80">
        <v>0.1080638719</v>
      </c>
      <c r="I417" s="80">
        <v>0.1081797763</v>
      </c>
      <c r="J417" s="80">
        <v>0.10951297090000001</v>
      </c>
      <c r="K417" s="80">
        <v>0.11164715829999999</v>
      </c>
      <c r="L417" s="80">
        <v>0.1167116164</v>
      </c>
      <c r="M417" s="80">
        <v>0.1118226926</v>
      </c>
      <c r="N417" s="80">
        <v>0.1085269576</v>
      </c>
      <c r="O417" s="80">
        <v>0.1051334281</v>
      </c>
      <c r="P417" s="80">
        <v>0.1003612037</v>
      </c>
      <c r="Q417" s="80">
        <v>0.77478106309999994</v>
      </c>
      <c r="R417" s="80">
        <v>9.6552375499999996E-2</v>
      </c>
      <c r="S417" s="80">
        <v>9.4609178000000002E-2</v>
      </c>
      <c r="T417" s="80">
        <v>9.3053738600000005E-2</v>
      </c>
    </row>
    <row r="418" spans="1:20" s="20" customFormat="1" ht="15" x14ac:dyDescent="0.25">
      <c r="A418" s="17">
        <v>417</v>
      </c>
      <c r="B418" s="17">
        <v>0</v>
      </c>
      <c r="C418" s="18" t="s">
        <v>789</v>
      </c>
      <c r="D418" s="19" t="s">
        <v>790</v>
      </c>
      <c r="E418" s="82">
        <v>9834.0712812000002</v>
      </c>
      <c r="F418" s="82">
        <v>10061.3775597</v>
      </c>
      <c r="G418" s="82">
        <v>10390.563485999999</v>
      </c>
      <c r="H418" s="82">
        <v>10663.838618399999</v>
      </c>
      <c r="I418" s="82">
        <v>10760.102002199999</v>
      </c>
      <c r="J418" s="82">
        <v>10926.1306804</v>
      </c>
      <c r="K418" s="82">
        <v>11160.725986900001</v>
      </c>
      <c r="L418" s="82">
        <v>11355.611943</v>
      </c>
      <c r="M418" s="82">
        <v>11451.2633102</v>
      </c>
      <c r="N418" s="82">
        <v>11509.0390702</v>
      </c>
      <c r="O418" s="82">
        <v>11736.5519539</v>
      </c>
      <c r="P418" s="82">
        <v>11952.737236000001</v>
      </c>
      <c r="Q418" s="82">
        <v>12212.8524765</v>
      </c>
      <c r="R418" s="82">
        <v>12528.7398292</v>
      </c>
      <c r="S418" s="82">
        <v>12874.5597432</v>
      </c>
      <c r="T418" s="82">
        <v>12184.128501699999</v>
      </c>
    </row>
  </sheetData>
  <autoFilter ref="A1:D1" xr:uid="{00000000-0009-0000-0000-000002000000}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0000"/>
  </sheetPr>
  <dimension ref="A1:I420"/>
  <sheetViews>
    <sheetView showGridLines="0"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3" max="3" width="74.5703125" customWidth="1"/>
    <col min="4" max="4" width="16.28515625" customWidth="1"/>
    <col min="5" max="5" width="15.85546875" customWidth="1"/>
    <col min="6" max="7" width="15.42578125" customWidth="1"/>
  </cols>
  <sheetData>
    <row r="1" spans="1:9" s="57" customFormat="1" ht="15" customHeight="1" x14ac:dyDescent="0.25">
      <c r="A1" s="73"/>
      <c r="B1" s="73"/>
      <c r="C1" s="73"/>
      <c r="D1" s="66"/>
      <c r="E1" s="83" t="s">
        <v>818</v>
      </c>
      <c r="F1" s="87"/>
      <c r="G1" s="84"/>
      <c r="I1" s="76" t="s">
        <v>817</v>
      </c>
    </row>
    <row r="2" spans="1:9" s="57" customFormat="1" ht="65.25" customHeight="1" x14ac:dyDescent="0.25">
      <c r="A2" s="88" t="s">
        <v>1</v>
      </c>
      <c r="B2" s="90" t="s">
        <v>792</v>
      </c>
      <c r="C2" s="88" t="s">
        <v>791</v>
      </c>
      <c r="D2" s="92" t="s">
        <v>821</v>
      </c>
      <c r="E2" s="83" t="s">
        <v>819</v>
      </c>
      <c r="F2" s="84"/>
      <c r="G2" s="85" t="s">
        <v>820</v>
      </c>
    </row>
    <row r="3" spans="1:9" ht="15" customHeight="1" x14ac:dyDescent="0.25">
      <c r="A3" s="89"/>
      <c r="B3" s="91"/>
      <c r="C3" s="89"/>
      <c r="D3" s="86"/>
      <c r="E3" s="74" t="s">
        <v>815</v>
      </c>
      <c r="F3" s="74" t="s">
        <v>816</v>
      </c>
      <c r="G3" s="86"/>
    </row>
    <row r="4" spans="1:9" x14ac:dyDescent="0.25">
      <c r="A4" s="55">
        <v>1</v>
      </c>
      <c r="B4" s="39" t="s">
        <v>4</v>
      </c>
      <c r="C4" s="38" t="s">
        <v>5</v>
      </c>
      <c r="D4" s="37">
        <v>332.94906509999998</v>
      </c>
      <c r="E4" s="37">
        <v>-3.8307666625032084</v>
      </c>
      <c r="F4" s="37">
        <v>-1.1505563655367683</v>
      </c>
      <c r="G4" s="37">
        <v>329.11829843749678</v>
      </c>
    </row>
    <row r="5" spans="1:9" x14ac:dyDescent="0.25">
      <c r="A5" s="54">
        <v>2</v>
      </c>
      <c r="B5" s="31" t="s">
        <v>6</v>
      </c>
      <c r="C5" s="53" t="s">
        <v>7</v>
      </c>
      <c r="D5" s="29">
        <v>285.63616574999998</v>
      </c>
      <c r="E5" s="29">
        <v>-3.9910600990181138</v>
      </c>
      <c r="F5" s="29">
        <v>-1.3972530714164699</v>
      </c>
      <c r="G5" s="45">
        <v>281.64510565098186</v>
      </c>
    </row>
    <row r="6" spans="1:9" x14ac:dyDescent="0.25">
      <c r="A6" s="52">
        <v>3</v>
      </c>
      <c r="B6" s="35" t="s">
        <v>8</v>
      </c>
      <c r="C6" s="51" t="s">
        <v>9</v>
      </c>
      <c r="D6" s="33">
        <v>31.642610822999998</v>
      </c>
      <c r="E6" s="33">
        <v>-2.7195243724297811</v>
      </c>
      <c r="F6" s="33">
        <v>-8.5945005854354033</v>
      </c>
      <c r="G6" s="46">
        <v>28.923086450570217</v>
      </c>
    </row>
    <row r="7" spans="1:9" x14ac:dyDescent="0.25">
      <c r="A7" s="52">
        <v>3</v>
      </c>
      <c r="B7" s="35" t="s">
        <v>10</v>
      </c>
      <c r="C7" s="51" t="s">
        <v>11</v>
      </c>
      <c r="D7" s="33">
        <v>11.898065705</v>
      </c>
      <c r="E7" s="33">
        <v>-4.3570841652579517E-2</v>
      </c>
      <c r="F7" s="33">
        <v>-0.36620105093443434</v>
      </c>
      <c r="G7" s="46">
        <v>11.854494863347421</v>
      </c>
    </row>
    <row r="8" spans="1:9" x14ac:dyDescent="0.25">
      <c r="A8" s="52">
        <v>3</v>
      </c>
      <c r="B8" s="35" t="s">
        <v>12</v>
      </c>
      <c r="C8" s="51" t="s">
        <v>13</v>
      </c>
      <c r="D8" s="33">
        <v>20.803116763999999</v>
      </c>
      <c r="E8" s="33">
        <v>1.0047655080037963</v>
      </c>
      <c r="F8" s="33">
        <v>4.8298796733312246</v>
      </c>
      <c r="G8" s="46">
        <v>21.807882272003795</v>
      </c>
    </row>
    <row r="9" spans="1:9" x14ac:dyDescent="0.25">
      <c r="A9" s="52">
        <v>3</v>
      </c>
      <c r="B9" s="35" t="s">
        <v>14</v>
      </c>
      <c r="C9" s="51" t="s">
        <v>15</v>
      </c>
      <c r="D9" s="33">
        <v>29.114498565000002</v>
      </c>
      <c r="E9" s="33">
        <v>-0.43808277136402651</v>
      </c>
      <c r="F9" s="33">
        <v>-1.5046893917337383</v>
      </c>
      <c r="G9" s="46">
        <v>28.676415793635975</v>
      </c>
    </row>
    <row r="10" spans="1:9" x14ac:dyDescent="0.25">
      <c r="A10" s="52">
        <v>3</v>
      </c>
      <c r="B10" s="35" t="s">
        <v>16</v>
      </c>
      <c r="C10" s="51" t="s">
        <v>17</v>
      </c>
      <c r="D10" s="33">
        <v>138.13353799999999</v>
      </c>
      <c r="E10" s="33">
        <v>-1.5425307417881982</v>
      </c>
      <c r="F10" s="33">
        <v>-1.1166953110172262</v>
      </c>
      <c r="G10" s="46">
        <v>136.59100725821179</v>
      </c>
    </row>
    <row r="11" spans="1:9" x14ac:dyDescent="0.25">
      <c r="A11" s="52">
        <v>3</v>
      </c>
      <c r="B11" s="35" t="s">
        <v>18</v>
      </c>
      <c r="C11" s="51" t="s">
        <v>19</v>
      </c>
      <c r="D11" s="33">
        <v>5.7129133197000002</v>
      </c>
      <c r="E11" s="33">
        <v>-0.15049497431755032</v>
      </c>
      <c r="F11" s="33">
        <v>-2.63429472662563</v>
      </c>
      <c r="G11" s="46">
        <v>5.5624183453824498</v>
      </c>
    </row>
    <row r="12" spans="1:9" x14ac:dyDescent="0.25">
      <c r="A12" s="52">
        <v>3</v>
      </c>
      <c r="B12" s="35" t="s">
        <v>20</v>
      </c>
      <c r="C12" s="51" t="s">
        <v>21</v>
      </c>
      <c r="D12" s="33">
        <v>23.229320599000001</v>
      </c>
      <c r="E12" s="33">
        <v>-7.4971090726815959E-2</v>
      </c>
      <c r="F12" s="33">
        <v>-0.32274336396236825</v>
      </c>
      <c r="G12" s="46">
        <v>23.154349508273185</v>
      </c>
    </row>
    <row r="13" spans="1:9" x14ac:dyDescent="0.25">
      <c r="A13" s="52">
        <v>3</v>
      </c>
      <c r="B13" s="35" t="s">
        <v>22</v>
      </c>
      <c r="C13" s="51" t="s">
        <v>23</v>
      </c>
      <c r="D13" s="33">
        <v>11.007688637999999</v>
      </c>
      <c r="E13" s="33">
        <v>-3.9187716831948549E-2</v>
      </c>
      <c r="F13" s="33">
        <v>-0.35600313672270267</v>
      </c>
      <c r="G13" s="46">
        <v>10.968500921168051</v>
      </c>
    </row>
    <row r="14" spans="1:9" x14ac:dyDescent="0.25">
      <c r="A14" s="52">
        <v>3</v>
      </c>
      <c r="B14" s="35" t="s">
        <v>24</v>
      </c>
      <c r="C14" s="51" t="s">
        <v>25</v>
      </c>
      <c r="D14" s="33">
        <v>0.22417887989999999</v>
      </c>
      <c r="E14" s="33">
        <v>-5.1710152510101581E-3</v>
      </c>
      <c r="F14" s="33">
        <v>-2.3066469300394425</v>
      </c>
      <c r="G14" s="46">
        <v>0.21900786464898983</v>
      </c>
    </row>
    <row r="15" spans="1:9" x14ac:dyDescent="0.25">
      <c r="A15" s="52">
        <v>3</v>
      </c>
      <c r="B15" s="35" t="s">
        <v>26</v>
      </c>
      <c r="C15" s="51" t="s">
        <v>27</v>
      </c>
      <c r="D15" s="33">
        <v>13.412652041999999</v>
      </c>
      <c r="E15" s="33">
        <v>1.7707917339970791E-2</v>
      </c>
      <c r="F15" s="33">
        <v>0.13202398216639574</v>
      </c>
      <c r="G15" s="46">
        <v>13.43035995933997</v>
      </c>
    </row>
    <row r="16" spans="1:9" x14ac:dyDescent="0.25">
      <c r="A16" s="54">
        <v>2</v>
      </c>
      <c r="B16" s="31" t="s">
        <v>28</v>
      </c>
      <c r="C16" s="53" t="s">
        <v>29</v>
      </c>
      <c r="D16" s="29">
        <v>5.3378870824</v>
      </c>
      <c r="E16" s="29">
        <v>-0.15328174144045814</v>
      </c>
      <c r="F16" s="29">
        <v>-2.8715808160471652</v>
      </c>
      <c r="G16" s="45">
        <v>5.1846053409595418</v>
      </c>
    </row>
    <row r="17" spans="1:7" x14ac:dyDescent="0.25">
      <c r="A17" s="52">
        <v>3</v>
      </c>
      <c r="B17" s="35" t="s">
        <v>30</v>
      </c>
      <c r="C17" s="51" t="s">
        <v>29</v>
      </c>
      <c r="D17" s="33">
        <v>5.3378870824</v>
      </c>
      <c r="E17" s="33">
        <v>-0.15328174144045814</v>
      </c>
      <c r="F17" s="33">
        <v>-2.8715808160471652</v>
      </c>
      <c r="G17" s="46">
        <v>5.1846053409595418</v>
      </c>
    </row>
    <row r="18" spans="1:7" x14ac:dyDescent="0.25">
      <c r="A18" s="54">
        <v>2</v>
      </c>
      <c r="B18" s="31" t="s">
        <v>31</v>
      </c>
      <c r="C18" s="53" t="s">
        <v>32</v>
      </c>
      <c r="D18" s="29">
        <v>5.2110564333999996</v>
      </c>
      <c r="E18" s="29">
        <v>9.0941962943738908E-2</v>
      </c>
      <c r="F18" s="29">
        <v>1.7451732504919932</v>
      </c>
      <c r="G18" s="45">
        <v>5.3019983963437385</v>
      </c>
    </row>
    <row r="19" spans="1:7" x14ac:dyDescent="0.25">
      <c r="A19" s="52">
        <v>3</v>
      </c>
      <c r="B19" s="35" t="s">
        <v>33</v>
      </c>
      <c r="C19" s="51" t="s">
        <v>32</v>
      </c>
      <c r="D19" s="33">
        <v>5.2110564333999996</v>
      </c>
      <c r="E19" s="33">
        <v>9.0941962943738908E-2</v>
      </c>
      <c r="F19" s="33">
        <v>1.7451732504919932</v>
      </c>
      <c r="G19" s="46">
        <v>5.3019983963437385</v>
      </c>
    </row>
    <row r="20" spans="1:7" x14ac:dyDescent="0.25">
      <c r="A20" s="54">
        <v>2</v>
      </c>
      <c r="B20" s="31" t="s">
        <v>34</v>
      </c>
      <c r="C20" s="53" t="s">
        <v>35</v>
      </c>
      <c r="D20" s="29">
        <v>6.8984770928000003</v>
      </c>
      <c r="E20" s="29">
        <v>1.4373299272457452E-2</v>
      </c>
      <c r="F20" s="29">
        <v>0.20835467131519489</v>
      </c>
      <c r="G20" s="45">
        <v>6.9128503920724578</v>
      </c>
    </row>
    <row r="21" spans="1:7" x14ac:dyDescent="0.25">
      <c r="A21" s="52">
        <v>3</v>
      </c>
      <c r="B21" s="35" t="s">
        <v>36</v>
      </c>
      <c r="C21" s="51" t="s">
        <v>37</v>
      </c>
      <c r="D21" s="33">
        <v>0.225155405</v>
      </c>
      <c r="E21" s="33">
        <v>-1.3500770994597761E-2</v>
      </c>
      <c r="F21" s="33">
        <v>-5.9962011547525407</v>
      </c>
      <c r="G21" s="46">
        <v>0.21165463400540224</v>
      </c>
    </row>
    <row r="22" spans="1:7" x14ac:dyDescent="0.25">
      <c r="A22" s="52">
        <v>3</v>
      </c>
      <c r="B22" s="35" t="s">
        <v>38</v>
      </c>
      <c r="C22" s="51" t="s">
        <v>39</v>
      </c>
      <c r="D22" s="33">
        <v>6.0102661575000003</v>
      </c>
      <c r="E22" s="33">
        <v>3.4614068457008429E-2</v>
      </c>
      <c r="F22" s="33">
        <v>0.57591573401145879</v>
      </c>
      <c r="G22" s="46">
        <v>6.0448802259570087</v>
      </c>
    </row>
    <row r="23" spans="1:7" x14ac:dyDescent="0.25">
      <c r="A23" s="52">
        <v>3</v>
      </c>
      <c r="B23" s="35" t="s">
        <v>40</v>
      </c>
      <c r="C23" s="51" t="s">
        <v>41</v>
      </c>
      <c r="D23" s="33">
        <v>0.38118285200000002</v>
      </c>
      <c r="E23" s="33">
        <v>-6.7399981899545214E-3</v>
      </c>
      <c r="F23" s="33">
        <v>-1.7681797999545164</v>
      </c>
      <c r="G23" s="46">
        <v>0.3744428538100455</v>
      </c>
    </row>
    <row r="24" spans="1:7" x14ac:dyDescent="0.25">
      <c r="A24" s="54">
        <v>2</v>
      </c>
      <c r="B24" s="31" t="s">
        <v>42</v>
      </c>
      <c r="C24" s="53" t="s">
        <v>43</v>
      </c>
      <c r="D24" s="29">
        <v>30.266129128999999</v>
      </c>
      <c r="E24" s="29">
        <v>0.20825991573920533</v>
      </c>
      <c r="F24" s="29">
        <v>0.68809564266233703</v>
      </c>
      <c r="G24" s="45">
        <v>30.474389044739205</v>
      </c>
    </row>
    <row r="25" spans="1:7" x14ac:dyDescent="0.25">
      <c r="A25" s="52">
        <v>3</v>
      </c>
      <c r="B25" s="35" t="s">
        <v>44</v>
      </c>
      <c r="C25" s="51" t="s">
        <v>45</v>
      </c>
      <c r="D25" s="33">
        <v>7.9500131700000004E-2</v>
      </c>
      <c r="E25" s="33">
        <v>0</v>
      </c>
      <c r="F25" s="33">
        <v>0</v>
      </c>
      <c r="G25" s="46">
        <v>7.9500131700000004E-2</v>
      </c>
    </row>
    <row r="26" spans="1:7" x14ac:dyDescent="0.25">
      <c r="A26" s="52">
        <v>3</v>
      </c>
      <c r="B26" s="35" t="s">
        <v>46</v>
      </c>
      <c r="C26" s="51" t="s">
        <v>47</v>
      </c>
      <c r="D26" s="33">
        <v>4.3736624772999999</v>
      </c>
      <c r="E26" s="33">
        <v>0.11025773328429445</v>
      </c>
      <c r="F26" s="33">
        <v>2.5209474635171212</v>
      </c>
      <c r="G26" s="46">
        <v>4.4839202105842944</v>
      </c>
    </row>
    <row r="27" spans="1:7" x14ac:dyDescent="0.25">
      <c r="A27" s="52">
        <v>3</v>
      </c>
      <c r="B27" s="35" t="s">
        <v>48</v>
      </c>
      <c r="C27" s="51" t="s">
        <v>49</v>
      </c>
      <c r="D27" s="33">
        <v>25.799933863</v>
      </c>
      <c r="E27" s="33">
        <v>9.8002182454901998E-2</v>
      </c>
      <c r="F27" s="33">
        <v>0.37985439410543659</v>
      </c>
      <c r="G27" s="46">
        <v>25.897936045454902</v>
      </c>
    </row>
    <row r="28" spans="1:7" x14ac:dyDescent="0.25">
      <c r="A28" s="50">
        <v>2</v>
      </c>
      <c r="B28" s="31" t="s">
        <v>50</v>
      </c>
      <c r="C28" s="49" t="s">
        <v>51</v>
      </c>
      <c r="D28" s="29">
        <v>0.3021911478</v>
      </c>
      <c r="E28" s="29">
        <v>0</v>
      </c>
      <c r="F28" s="29">
        <v>0</v>
      </c>
      <c r="G28" s="45">
        <v>0.3021911478</v>
      </c>
    </row>
    <row r="29" spans="1:7" x14ac:dyDescent="0.25">
      <c r="A29" s="28">
        <v>3</v>
      </c>
      <c r="B29" s="27" t="s">
        <v>52</v>
      </c>
      <c r="C29" s="26" t="s">
        <v>51</v>
      </c>
      <c r="D29" s="25">
        <v>0.3021911478</v>
      </c>
      <c r="E29" s="25">
        <v>0</v>
      </c>
      <c r="F29" s="25">
        <v>0</v>
      </c>
      <c r="G29" s="25">
        <v>0.3021911478</v>
      </c>
    </row>
    <row r="30" spans="1:7" x14ac:dyDescent="0.25">
      <c r="A30" s="40">
        <v>1</v>
      </c>
      <c r="B30" s="39" t="s">
        <v>53</v>
      </c>
      <c r="C30" s="38" t="s">
        <v>54</v>
      </c>
      <c r="D30" s="37">
        <v>247.38892190000001</v>
      </c>
      <c r="E30" s="37">
        <v>15.413032355088887</v>
      </c>
      <c r="F30" s="37">
        <v>6.230283974202842</v>
      </c>
      <c r="G30" s="37">
        <v>262.8019542550889</v>
      </c>
    </row>
    <row r="31" spans="1:7" x14ac:dyDescent="0.25">
      <c r="A31" s="32">
        <v>2</v>
      </c>
      <c r="B31" s="31" t="s">
        <v>55</v>
      </c>
      <c r="C31" s="30" t="s">
        <v>56</v>
      </c>
      <c r="D31" s="29">
        <v>55.235408118000002</v>
      </c>
      <c r="E31" s="29">
        <v>3.0626946549570349</v>
      </c>
      <c r="F31" s="29">
        <v>5.5448031603462891</v>
      </c>
      <c r="G31" s="29">
        <v>58.298102772957037</v>
      </c>
    </row>
    <row r="32" spans="1:7" x14ac:dyDescent="0.25">
      <c r="A32" s="36">
        <v>3</v>
      </c>
      <c r="B32" s="35" t="s">
        <v>57</v>
      </c>
      <c r="C32" s="34" t="s">
        <v>56</v>
      </c>
      <c r="D32" s="33">
        <v>55.235408118000002</v>
      </c>
      <c r="E32" s="33">
        <v>3.0626946549570349</v>
      </c>
      <c r="F32" s="33">
        <v>5.5448031603462891</v>
      </c>
      <c r="G32" s="33">
        <v>58.298102772957037</v>
      </c>
    </row>
    <row r="33" spans="1:7" x14ac:dyDescent="0.25">
      <c r="A33" s="32">
        <v>2</v>
      </c>
      <c r="B33" s="31" t="s">
        <v>58</v>
      </c>
      <c r="C33" s="30" t="s">
        <v>59</v>
      </c>
      <c r="D33" s="29">
        <v>24.722918316000001</v>
      </c>
      <c r="E33" s="29">
        <v>1.9899680038497998</v>
      </c>
      <c r="F33" s="29">
        <v>8.0490821448127612</v>
      </c>
      <c r="G33" s="29">
        <v>26.712886319849801</v>
      </c>
    </row>
    <row r="34" spans="1:7" x14ac:dyDescent="0.25">
      <c r="A34" s="36">
        <v>3</v>
      </c>
      <c r="B34" s="35" t="s">
        <v>60</v>
      </c>
      <c r="C34" s="34" t="s">
        <v>59</v>
      </c>
      <c r="D34" s="33">
        <v>24.722918316000001</v>
      </c>
      <c r="E34" s="33">
        <v>1.9899680038497998</v>
      </c>
      <c r="F34" s="33">
        <v>8.0490821448127612</v>
      </c>
      <c r="G34" s="33">
        <v>26.712886319849801</v>
      </c>
    </row>
    <row r="35" spans="1:7" x14ac:dyDescent="0.25">
      <c r="A35" s="32">
        <v>2</v>
      </c>
      <c r="B35" s="31" t="s">
        <v>61</v>
      </c>
      <c r="C35" s="30" t="s">
        <v>62</v>
      </c>
      <c r="D35" s="29">
        <v>103.95521521000001</v>
      </c>
      <c r="E35" s="29">
        <v>10.097935498109422</v>
      </c>
      <c r="F35" s="29">
        <v>9.713736321655988</v>
      </c>
      <c r="G35" s="29">
        <v>114.05315070810943</v>
      </c>
    </row>
    <row r="36" spans="1:7" x14ac:dyDescent="0.25">
      <c r="A36" s="36">
        <v>3</v>
      </c>
      <c r="B36" s="35" t="s">
        <v>63</v>
      </c>
      <c r="C36" s="34" t="s">
        <v>62</v>
      </c>
      <c r="D36" s="33">
        <v>103.95521521000001</v>
      </c>
      <c r="E36" s="33">
        <v>10.097935498109422</v>
      </c>
      <c r="F36" s="33">
        <v>9.713736321655988</v>
      </c>
      <c r="G36" s="33">
        <v>114.05315070810943</v>
      </c>
    </row>
    <row r="37" spans="1:7" x14ac:dyDescent="0.25">
      <c r="A37" s="32">
        <v>2</v>
      </c>
      <c r="B37" s="31" t="s">
        <v>64</v>
      </c>
      <c r="C37" s="30" t="s">
        <v>65</v>
      </c>
      <c r="D37" s="29">
        <v>16.319383730999999</v>
      </c>
      <c r="E37" s="29">
        <v>-2.1296855271881299E-2</v>
      </c>
      <c r="F37" s="29">
        <v>-0.13050036461503253</v>
      </c>
      <c r="G37" s="29">
        <v>16.298086875728117</v>
      </c>
    </row>
    <row r="38" spans="1:7" x14ac:dyDescent="0.25">
      <c r="A38" s="36">
        <v>3</v>
      </c>
      <c r="B38" s="35" t="s">
        <v>66</v>
      </c>
      <c r="C38" s="34" t="s">
        <v>67</v>
      </c>
      <c r="D38" s="33">
        <v>4.3787384100000004</v>
      </c>
      <c r="E38" s="33">
        <v>-0.14919647208971654</v>
      </c>
      <c r="F38" s="33">
        <v>-3.4072935654020156</v>
      </c>
      <c r="G38" s="33">
        <v>4.2295419379102839</v>
      </c>
    </row>
    <row r="39" spans="1:7" x14ac:dyDescent="0.25">
      <c r="A39" s="36">
        <v>3</v>
      </c>
      <c r="B39" s="35" t="s">
        <v>68</v>
      </c>
      <c r="C39" s="34" t="s">
        <v>69</v>
      </c>
      <c r="D39" s="33">
        <v>5.2756571433000001</v>
      </c>
      <c r="E39" s="33">
        <v>0.16257790628549884</v>
      </c>
      <c r="F39" s="33">
        <v>3.0816617128345833</v>
      </c>
      <c r="G39" s="33">
        <v>5.438235049585499</v>
      </c>
    </row>
    <row r="40" spans="1:7" x14ac:dyDescent="0.25">
      <c r="A40" s="36">
        <v>3</v>
      </c>
      <c r="B40" s="35" t="s">
        <v>70</v>
      </c>
      <c r="C40" s="34" t="s">
        <v>71</v>
      </c>
      <c r="D40" s="33">
        <v>6.6929042881000003</v>
      </c>
      <c r="E40" s="33">
        <v>-3.4678289467660939E-2</v>
      </c>
      <c r="F40" s="33">
        <v>-0.51813514693940899</v>
      </c>
      <c r="G40" s="33">
        <v>6.6582259986323393</v>
      </c>
    </row>
    <row r="41" spans="1:7" x14ac:dyDescent="0.25">
      <c r="A41" s="32">
        <v>2</v>
      </c>
      <c r="B41" s="31" t="s">
        <v>72</v>
      </c>
      <c r="C41" s="30" t="s">
        <v>73</v>
      </c>
      <c r="D41" s="29">
        <v>40.207661756</v>
      </c>
      <c r="E41" s="29">
        <v>0.28373105344449812</v>
      </c>
      <c r="F41" s="29">
        <v>0.70566414721233639</v>
      </c>
      <c r="G41" s="29">
        <v>40.491392809444498</v>
      </c>
    </row>
    <row r="42" spans="1:7" x14ac:dyDescent="0.25">
      <c r="A42" s="36">
        <v>3</v>
      </c>
      <c r="B42" s="35" t="s">
        <v>74</v>
      </c>
      <c r="C42" s="34" t="s">
        <v>75</v>
      </c>
      <c r="D42" s="33">
        <v>1.1810925579</v>
      </c>
      <c r="E42" s="33">
        <v>-5.0793098674675408E-2</v>
      </c>
      <c r="F42" s="33">
        <v>-4.3005180529615972</v>
      </c>
      <c r="G42" s="33">
        <v>1.1302994592253246</v>
      </c>
    </row>
    <row r="43" spans="1:7" x14ac:dyDescent="0.25">
      <c r="A43" s="36">
        <v>3</v>
      </c>
      <c r="B43" s="35" t="s">
        <v>76</v>
      </c>
      <c r="C43" s="34" t="s">
        <v>77</v>
      </c>
      <c r="D43" s="33">
        <v>15.383892963999999</v>
      </c>
      <c r="E43" s="33">
        <v>0.20964389522180404</v>
      </c>
      <c r="F43" s="33">
        <v>1.3627493100244119</v>
      </c>
      <c r="G43" s="33">
        <v>15.593536859221803</v>
      </c>
    </row>
    <row r="44" spans="1:7" x14ac:dyDescent="0.25">
      <c r="A44" s="36">
        <v>3</v>
      </c>
      <c r="B44" s="35" t="s">
        <v>78</v>
      </c>
      <c r="C44" s="34" t="s">
        <v>79</v>
      </c>
      <c r="D44" s="33">
        <v>23.174048257999999</v>
      </c>
      <c r="E44" s="33">
        <v>0.12488025689736659</v>
      </c>
      <c r="F44" s="33">
        <v>0.53887976544735217</v>
      </c>
      <c r="G44" s="33">
        <v>23.298928514897366</v>
      </c>
    </row>
    <row r="45" spans="1:7" x14ac:dyDescent="0.25">
      <c r="A45" s="32">
        <v>2</v>
      </c>
      <c r="B45" s="31" t="s">
        <v>80</v>
      </c>
      <c r="C45" s="30" t="s">
        <v>81</v>
      </c>
      <c r="D45" s="29">
        <v>2.2340294277999999</v>
      </c>
      <c r="E45" s="29">
        <v>0</v>
      </c>
      <c r="F45" s="29">
        <v>0</v>
      </c>
      <c r="G45" s="29">
        <v>2.2340294277999999</v>
      </c>
    </row>
    <row r="46" spans="1:7" x14ac:dyDescent="0.25">
      <c r="A46" s="28">
        <v>3</v>
      </c>
      <c r="B46" s="27" t="s">
        <v>82</v>
      </c>
      <c r="C46" s="26" t="s">
        <v>81</v>
      </c>
      <c r="D46" s="25">
        <v>2.2340294277999999</v>
      </c>
      <c r="E46" s="25">
        <v>0</v>
      </c>
      <c r="F46" s="25">
        <v>0</v>
      </c>
      <c r="G46" s="25">
        <v>2.2340294277999999</v>
      </c>
    </row>
    <row r="47" spans="1:7" x14ac:dyDescent="0.25">
      <c r="A47" s="40">
        <v>1</v>
      </c>
      <c r="B47" s="39" t="s">
        <v>83</v>
      </c>
      <c r="C47" s="38" t="s">
        <v>84</v>
      </c>
      <c r="D47" s="37">
        <v>848.69566150000003</v>
      </c>
      <c r="E47" s="37">
        <v>-3.4079496903302697</v>
      </c>
      <c r="F47" s="37">
        <v>-0.40155144475547316</v>
      </c>
      <c r="G47" s="37">
        <v>845.28771180966976</v>
      </c>
    </row>
    <row r="48" spans="1:7" x14ac:dyDescent="0.25">
      <c r="A48" s="32">
        <v>2</v>
      </c>
      <c r="B48" s="31" t="s">
        <v>85</v>
      </c>
      <c r="C48" s="30" t="s">
        <v>86</v>
      </c>
      <c r="D48" s="29">
        <v>205.79974265000001</v>
      </c>
      <c r="E48" s="29">
        <v>1.6872076271745016</v>
      </c>
      <c r="F48" s="29">
        <v>0.81982980418197404</v>
      </c>
      <c r="G48" s="29">
        <v>207.48695027717451</v>
      </c>
    </row>
    <row r="49" spans="1:7" x14ac:dyDescent="0.25">
      <c r="A49" s="36">
        <v>3</v>
      </c>
      <c r="B49" s="35" t="s">
        <v>87</v>
      </c>
      <c r="C49" s="34" t="s">
        <v>88</v>
      </c>
      <c r="D49" s="33">
        <v>14.074611889</v>
      </c>
      <c r="E49" s="33">
        <v>-2.9567402685660529</v>
      </c>
      <c r="F49" s="33">
        <v>-21.007614930233995</v>
      </c>
      <c r="G49" s="33">
        <v>11.117871620433947</v>
      </c>
    </row>
    <row r="50" spans="1:7" x14ac:dyDescent="0.25">
      <c r="A50" s="36">
        <v>3</v>
      </c>
      <c r="B50" s="35" t="s">
        <v>89</v>
      </c>
      <c r="C50" s="34" t="s">
        <v>90</v>
      </c>
      <c r="D50" s="33">
        <v>60.448559312999997</v>
      </c>
      <c r="E50" s="33">
        <v>3.9421770101962679</v>
      </c>
      <c r="F50" s="33">
        <v>6.5215400581903822</v>
      </c>
      <c r="G50" s="33">
        <v>64.390736323196265</v>
      </c>
    </row>
    <row r="51" spans="1:7" x14ac:dyDescent="0.25">
      <c r="A51" s="36">
        <v>3</v>
      </c>
      <c r="B51" s="35" t="s">
        <v>91</v>
      </c>
      <c r="C51" s="34" t="s">
        <v>92</v>
      </c>
      <c r="D51" s="33">
        <v>2.0747870402999999</v>
      </c>
      <c r="E51" s="33">
        <v>7.0724986112882249E-3</v>
      </c>
      <c r="F51" s="33">
        <v>0.3408782913096271</v>
      </c>
      <c r="G51" s="33">
        <v>2.0818595389112882</v>
      </c>
    </row>
    <row r="52" spans="1:7" x14ac:dyDescent="0.25">
      <c r="A52" s="36">
        <v>3</v>
      </c>
      <c r="B52" s="35" t="s">
        <v>93</v>
      </c>
      <c r="C52" s="34" t="s">
        <v>94</v>
      </c>
      <c r="D52" s="33">
        <v>21.751705350000002</v>
      </c>
      <c r="E52" s="33">
        <v>6.3517093985076656E-2</v>
      </c>
      <c r="F52" s="33">
        <v>0.2920097204473977</v>
      </c>
      <c r="G52" s="33">
        <v>21.815222443985078</v>
      </c>
    </row>
    <row r="53" spans="1:7" x14ac:dyDescent="0.25">
      <c r="A53" s="36">
        <v>3</v>
      </c>
      <c r="B53" s="35" t="s">
        <v>95</v>
      </c>
      <c r="C53" s="34" t="s">
        <v>96</v>
      </c>
      <c r="D53" s="33">
        <v>7.3817304179000001</v>
      </c>
      <c r="E53" s="33">
        <v>0.28813877194829818</v>
      </c>
      <c r="F53" s="33">
        <v>3.9034041564236595</v>
      </c>
      <c r="G53" s="33">
        <v>7.6698691898482982</v>
      </c>
    </row>
    <row r="54" spans="1:7" x14ac:dyDescent="0.25">
      <c r="A54" s="36">
        <v>3</v>
      </c>
      <c r="B54" s="35" t="s">
        <v>97</v>
      </c>
      <c r="C54" s="34" t="s">
        <v>98</v>
      </c>
      <c r="D54" s="33">
        <v>0.90292651989999995</v>
      </c>
      <c r="E54" s="33">
        <v>0</v>
      </c>
      <c r="F54" s="33">
        <v>0</v>
      </c>
      <c r="G54" s="33">
        <v>0.90292651989999995</v>
      </c>
    </row>
    <row r="55" spans="1:7" x14ac:dyDescent="0.25">
      <c r="A55" s="36">
        <v>3</v>
      </c>
      <c r="B55" s="35" t="s">
        <v>99</v>
      </c>
      <c r="C55" s="34" t="s">
        <v>100</v>
      </c>
      <c r="D55" s="33">
        <v>4.0955393371</v>
      </c>
      <c r="E55" s="33">
        <v>-0.47790216776163419</v>
      </c>
      <c r="F55" s="33">
        <v>-11.668845747188714</v>
      </c>
      <c r="G55" s="33">
        <v>3.6176371693383658</v>
      </c>
    </row>
    <row r="56" spans="1:7" x14ac:dyDescent="0.25">
      <c r="A56" s="36">
        <v>3</v>
      </c>
      <c r="B56" s="35" t="s">
        <v>101</v>
      </c>
      <c r="C56" s="34" t="s">
        <v>102</v>
      </c>
      <c r="D56" s="33">
        <v>58.114463921999999</v>
      </c>
      <c r="E56" s="33">
        <v>0.24397782427345049</v>
      </c>
      <c r="F56" s="33">
        <v>0.41982289400606421</v>
      </c>
      <c r="G56" s="33">
        <v>58.358441746273449</v>
      </c>
    </row>
    <row r="57" spans="1:7" x14ac:dyDescent="0.25">
      <c r="A57" s="36">
        <v>3</v>
      </c>
      <c r="B57" s="35" t="s">
        <v>103</v>
      </c>
      <c r="C57" s="34" t="s">
        <v>104</v>
      </c>
      <c r="D57" s="33">
        <v>10.774452207</v>
      </c>
      <c r="E57" s="33">
        <v>-0.12017197527300638</v>
      </c>
      <c r="F57" s="33">
        <v>-1.1153418564976552</v>
      </c>
      <c r="G57" s="33">
        <v>10.654280231726993</v>
      </c>
    </row>
    <row r="58" spans="1:7" x14ac:dyDescent="0.25">
      <c r="A58" s="36">
        <v>3</v>
      </c>
      <c r="B58" s="35" t="s">
        <v>105</v>
      </c>
      <c r="C58" s="34" t="s">
        <v>106</v>
      </c>
      <c r="D58" s="33">
        <v>27.318402141</v>
      </c>
      <c r="E58" s="33">
        <v>0.69713883976083935</v>
      </c>
      <c r="F58" s="33">
        <v>2.551901960307406</v>
      </c>
      <c r="G58" s="33">
        <v>28.015540980760839</v>
      </c>
    </row>
    <row r="59" spans="1:7" x14ac:dyDescent="0.25">
      <c r="A59" s="32">
        <v>2</v>
      </c>
      <c r="B59" s="31" t="s">
        <v>107</v>
      </c>
      <c r="C59" s="30" t="s">
        <v>108</v>
      </c>
      <c r="D59" s="29">
        <v>30.231384281</v>
      </c>
      <c r="E59" s="29">
        <v>1.8665803395881504</v>
      </c>
      <c r="F59" s="29">
        <v>6.1743131648829923</v>
      </c>
      <c r="G59" s="29">
        <v>32.097964620588151</v>
      </c>
    </row>
    <row r="60" spans="1:7" x14ac:dyDescent="0.25">
      <c r="A60" s="44">
        <v>3</v>
      </c>
      <c r="B60" s="43" t="s">
        <v>109</v>
      </c>
      <c r="C60" s="42" t="s">
        <v>110</v>
      </c>
      <c r="D60" s="41">
        <v>0.12773793750000001</v>
      </c>
      <c r="E60" s="41">
        <v>-3.8328369550211239E-4</v>
      </c>
      <c r="F60" s="41">
        <v>-0.30005470810276103</v>
      </c>
      <c r="G60" s="41">
        <v>0.1273546538044979</v>
      </c>
    </row>
    <row r="61" spans="1:7" x14ac:dyDescent="0.25">
      <c r="A61" s="36">
        <v>3</v>
      </c>
      <c r="B61" s="35" t="s">
        <v>111</v>
      </c>
      <c r="C61" s="34" t="s">
        <v>112</v>
      </c>
      <c r="D61" s="33">
        <v>30.000101933</v>
      </c>
      <c r="E61" s="33">
        <v>1.8754869765365605</v>
      </c>
      <c r="F61" s="33">
        <v>6.2516020136369335</v>
      </c>
      <c r="G61" s="33">
        <v>31.87558890953656</v>
      </c>
    </row>
    <row r="62" spans="1:7" x14ac:dyDescent="0.25">
      <c r="A62" s="36">
        <v>3</v>
      </c>
      <c r="B62" s="35" t="s">
        <v>113</v>
      </c>
      <c r="C62" s="34" t="s">
        <v>114</v>
      </c>
      <c r="D62" s="33">
        <v>0.21571347699999999</v>
      </c>
      <c r="E62" s="33">
        <v>-8.5233532529074563E-3</v>
      </c>
      <c r="F62" s="33">
        <v>-3.9512381754930672</v>
      </c>
      <c r="G62" s="33">
        <v>0.20719012374709253</v>
      </c>
    </row>
    <row r="63" spans="1:7" x14ac:dyDescent="0.25">
      <c r="A63" s="32">
        <v>2</v>
      </c>
      <c r="B63" s="31" t="s">
        <v>115</v>
      </c>
      <c r="C63" s="30" t="s">
        <v>116</v>
      </c>
      <c r="D63" s="29">
        <v>31.567683841000001</v>
      </c>
      <c r="E63" s="29">
        <v>-4.5261805321445152</v>
      </c>
      <c r="F63" s="29">
        <v>-14.338019079708115</v>
      </c>
      <c r="G63" s="29">
        <v>27.041503308855486</v>
      </c>
    </row>
    <row r="64" spans="1:7" x14ac:dyDescent="0.25">
      <c r="A64" s="36">
        <v>3</v>
      </c>
      <c r="B64" s="35" t="s">
        <v>117</v>
      </c>
      <c r="C64" s="34" t="s">
        <v>118</v>
      </c>
      <c r="D64" s="33">
        <v>8.8561168499999995E-2</v>
      </c>
      <c r="E64" s="33">
        <v>-1.0044741752881378E-2</v>
      </c>
      <c r="F64" s="33">
        <v>-11.342151332252779</v>
      </c>
      <c r="G64" s="33">
        <v>7.8516426747118617E-2</v>
      </c>
    </row>
    <row r="65" spans="1:7" x14ac:dyDescent="0.25">
      <c r="A65" s="36">
        <v>3</v>
      </c>
      <c r="B65" s="35" t="s">
        <v>119</v>
      </c>
      <c r="C65" s="34" t="s">
        <v>120</v>
      </c>
      <c r="D65" s="33">
        <v>1.1836205676</v>
      </c>
      <c r="E65" s="33">
        <v>-0.29955260331028088</v>
      </c>
      <c r="F65" s="33">
        <v>-25.308161374525344</v>
      </c>
      <c r="G65" s="33">
        <v>0.88406796428971912</v>
      </c>
    </row>
    <row r="66" spans="1:7" x14ac:dyDescent="0.25">
      <c r="A66" s="36">
        <v>3</v>
      </c>
      <c r="B66" s="35" t="s">
        <v>121</v>
      </c>
      <c r="C66" s="34" t="s">
        <v>122</v>
      </c>
      <c r="D66" s="33">
        <v>1.7028322679000001</v>
      </c>
      <c r="E66" s="33">
        <v>-0.14597642177356129</v>
      </c>
      <c r="F66" s="33">
        <v>-8.5725661020967827</v>
      </c>
      <c r="G66" s="33">
        <v>1.5568558461264388</v>
      </c>
    </row>
    <row r="67" spans="1:7" x14ac:dyDescent="0.25">
      <c r="A67" s="36">
        <v>3</v>
      </c>
      <c r="B67" s="35" t="s">
        <v>123</v>
      </c>
      <c r="C67" s="34" t="s">
        <v>124</v>
      </c>
      <c r="D67" s="33">
        <v>11.501364172000001</v>
      </c>
      <c r="E67" s="33">
        <v>-0.71620169136442513</v>
      </c>
      <c r="F67" s="33">
        <v>-6.2271021128781721</v>
      </c>
      <c r="G67" s="33">
        <v>10.785162480635575</v>
      </c>
    </row>
    <row r="68" spans="1:7" x14ac:dyDescent="0.25">
      <c r="A68" s="36">
        <v>3</v>
      </c>
      <c r="B68" s="35" t="s">
        <v>125</v>
      </c>
      <c r="C68" s="34" t="s">
        <v>126</v>
      </c>
      <c r="D68" s="33">
        <v>0.28266689270000001</v>
      </c>
      <c r="E68" s="33">
        <v>0</v>
      </c>
      <c r="F68" s="33">
        <v>0</v>
      </c>
      <c r="G68" s="33">
        <v>0.28266689270000001</v>
      </c>
    </row>
    <row r="69" spans="1:7" x14ac:dyDescent="0.25">
      <c r="A69" s="36">
        <v>3</v>
      </c>
      <c r="B69" s="35" t="s">
        <v>127</v>
      </c>
      <c r="C69" s="34" t="s">
        <v>128</v>
      </c>
      <c r="D69" s="33">
        <v>17.114728215</v>
      </c>
      <c r="E69" s="33">
        <v>-3.3544050739433668</v>
      </c>
      <c r="F69" s="33">
        <v>-19.599522889317274</v>
      </c>
      <c r="G69" s="33">
        <v>13.760323141056633</v>
      </c>
    </row>
    <row r="70" spans="1:7" x14ac:dyDescent="0.25">
      <c r="A70" s="32">
        <v>2</v>
      </c>
      <c r="B70" s="31" t="s">
        <v>129</v>
      </c>
      <c r="C70" s="30" t="s">
        <v>130</v>
      </c>
      <c r="D70" s="29">
        <v>50.417611174000001</v>
      </c>
      <c r="E70" s="29">
        <v>0.79875950176248267</v>
      </c>
      <c r="F70" s="29">
        <v>1.5842866870582659</v>
      </c>
      <c r="G70" s="29">
        <v>51.216370675762484</v>
      </c>
    </row>
    <row r="71" spans="1:7" x14ac:dyDescent="0.25">
      <c r="A71" s="36">
        <v>3</v>
      </c>
      <c r="B71" s="35" t="s">
        <v>131</v>
      </c>
      <c r="C71" s="34" t="s">
        <v>132</v>
      </c>
      <c r="D71" s="33">
        <v>0.1</v>
      </c>
      <c r="E71" s="33">
        <v>0</v>
      </c>
      <c r="F71" s="33">
        <v>0</v>
      </c>
      <c r="G71" s="33">
        <v>0.1</v>
      </c>
    </row>
    <row r="72" spans="1:7" x14ac:dyDescent="0.25">
      <c r="A72" s="36">
        <v>3</v>
      </c>
      <c r="B72" s="35" t="s">
        <v>133</v>
      </c>
      <c r="C72" s="34" t="s">
        <v>134</v>
      </c>
      <c r="D72" s="33">
        <v>9.1884088666999997</v>
      </c>
      <c r="E72" s="33">
        <v>-0.78056451498249579</v>
      </c>
      <c r="F72" s="33">
        <v>-8.4950999275986074</v>
      </c>
      <c r="G72" s="33">
        <v>8.4078443517175039</v>
      </c>
    </row>
    <row r="73" spans="1:7" x14ac:dyDescent="0.25">
      <c r="A73" s="36">
        <v>3</v>
      </c>
      <c r="B73" s="35" t="s">
        <v>135</v>
      </c>
      <c r="C73" s="34" t="s">
        <v>136</v>
      </c>
      <c r="D73" s="33">
        <v>40.205660248999997</v>
      </c>
      <c r="E73" s="33">
        <v>1.578917421567354</v>
      </c>
      <c r="F73" s="33">
        <v>3.9271023328279386</v>
      </c>
      <c r="G73" s="33">
        <v>41.784577670567352</v>
      </c>
    </row>
    <row r="74" spans="1:7" x14ac:dyDescent="0.25">
      <c r="A74" s="32">
        <v>2</v>
      </c>
      <c r="B74" s="31" t="s">
        <v>137</v>
      </c>
      <c r="C74" s="30" t="s">
        <v>138</v>
      </c>
      <c r="D74" s="29">
        <v>14.253670439</v>
      </c>
      <c r="E74" s="29">
        <v>-0.4790855038079318</v>
      </c>
      <c r="F74" s="29">
        <v>-3.3611377915479794</v>
      </c>
      <c r="G74" s="29">
        <v>13.774584935192069</v>
      </c>
    </row>
    <row r="75" spans="1:7" x14ac:dyDescent="0.25">
      <c r="A75" s="36">
        <v>3</v>
      </c>
      <c r="B75" s="35" t="s">
        <v>139</v>
      </c>
      <c r="C75" s="34" t="s">
        <v>140</v>
      </c>
      <c r="D75" s="33">
        <v>2.7388508292</v>
      </c>
      <c r="E75" s="33">
        <v>-0.53451369989491937</v>
      </c>
      <c r="F75" s="33">
        <v>-19.515984375499823</v>
      </c>
      <c r="G75" s="33">
        <v>2.2043371293050806</v>
      </c>
    </row>
    <row r="76" spans="1:7" x14ac:dyDescent="0.25">
      <c r="A76" s="36">
        <v>3</v>
      </c>
      <c r="B76" s="35" t="s">
        <v>141</v>
      </c>
      <c r="C76" s="34" t="s">
        <v>142</v>
      </c>
      <c r="D76" s="33">
        <v>3.6116578877999999</v>
      </c>
      <c r="E76" s="33">
        <v>2.8503065162950758E-2</v>
      </c>
      <c r="F76" s="33">
        <v>0.78919615446503644</v>
      </c>
      <c r="G76" s="33">
        <v>3.6401609529629506</v>
      </c>
    </row>
    <row r="77" spans="1:7" x14ac:dyDescent="0.25">
      <c r="A77" s="36">
        <v>3</v>
      </c>
      <c r="B77" s="35" t="s">
        <v>143</v>
      </c>
      <c r="C77" s="34" t="s">
        <v>144</v>
      </c>
      <c r="D77" s="33">
        <v>8.1081784082000006</v>
      </c>
      <c r="E77" s="33">
        <v>2.6925130924038143E-2</v>
      </c>
      <c r="F77" s="33">
        <v>0.3320737355360619</v>
      </c>
      <c r="G77" s="33">
        <v>8.1351035391240387</v>
      </c>
    </row>
    <row r="78" spans="1:7" x14ac:dyDescent="0.25">
      <c r="A78" s="32">
        <v>2</v>
      </c>
      <c r="B78" s="31" t="s">
        <v>145</v>
      </c>
      <c r="C78" s="30" t="s">
        <v>146</v>
      </c>
      <c r="D78" s="29">
        <v>34.150740675999998</v>
      </c>
      <c r="E78" s="29">
        <v>-5.3443646247000203</v>
      </c>
      <c r="F78" s="29">
        <v>-15.649337375736222</v>
      </c>
      <c r="G78" s="29">
        <v>28.806376051299978</v>
      </c>
    </row>
    <row r="79" spans="1:7" x14ac:dyDescent="0.25">
      <c r="A79" s="36">
        <v>3</v>
      </c>
      <c r="B79" s="35" t="s">
        <v>147</v>
      </c>
      <c r="C79" s="34" t="s">
        <v>148</v>
      </c>
      <c r="D79" s="33">
        <v>0.15671172459999999</v>
      </c>
      <c r="E79" s="33">
        <v>-2.5999855459059473E-2</v>
      </c>
      <c r="F79" s="33">
        <v>-16.590880819812938</v>
      </c>
      <c r="G79" s="33">
        <v>0.13071186914094052</v>
      </c>
    </row>
    <row r="80" spans="1:7" x14ac:dyDescent="0.25">
      <c r="A80" s="36">
        <v>3</v>
      </c>
      <c r="B80" s="35" t="s">
        <v>149</v>
      </c>
      <c r="C80" s="34" t="s">
        <v>150</v>
      </c>
      <c r="D80" s="33">
        <v>33.599781407000002</v>
      </c>
      <c r="E80" s="33">
        <v>-5.2742326320827146</v>
      </c>
      <c r="F80" s="33">
        <v>-15.697223050933029</v>
      </c>
      <c r="G80" s="33">
        <v>28.325548774917287</v>
      </c>
    </row>
    <row r="81" spans="1:7" x14ac:dyDescent="0.25">
      <c r="A81" s="36">
        <v>3</v>
      </c>
      <c r="B81" s="35" t="s">
        <v>151</v>
      </c>
      <c r="C81" s="34" t="s">
        <v>152</v>
      </c>
      <c r="D81" s="33">
        <v>0.30696394519999998</v>
      </c>
      <c r="E81" s="33">
        <v>-4.4132137158241602E-2</v>
      </c>
      <c r="F81" s="33">
        <v>-14.376977442574779</v>
      </c>
      <c r="G81" s="33">
        <v>0.26283180804175837</v>
      </c>
    </row>
    <row r="82" spans="1:7" x14ac:dyDescent="0.25">
      <c r="A82" s="32">
        <v>2</v>
      </c>
      <c r="B82" s="31" t="s">
        <v>153</v>
      </c>
      <c r="C82" s="30" t="s">
        <v>154</v>
      </c>
      <c r="D82" s="29">
        <v>7.0456170297999998</v>
      </c>
      <c r="E82" s="29">
        <v>-0.10026849100295898</v>
      </c>
      <c r="F82" s="29">
        <v>-1.4231328580430271</v>
      </c>
      <c r="G82" s="29">
        <v>6.9453485387970408</v>
      </c>
    </row>
    <row r="83" spans="1:7" x14ac:dyDescent="0.25">
      <c r="A83" s="36">
        <v>3</v>
      </c>
      <c r="B83" s="35" t="s">
        <v>155</v>
      </c>
      <c r="C83" s="34" t="s">
        <v>154</v>
      </c>
      <c r="D83" s="33">
        <v>7.0456170297999998</v>
      </c>
      <c r="E83" s="33">
        <v>-0.10026849100295898</v>
      </c>
      <c r="F83" s="33">
        <v>-1.4231328580430271</v>
      </c>
      <c r="G83" s="33">
        <v>6.9453485387970408</v>
      </c>
    </row>
    <row r="84" spans="1:7" x14ac:dyDescent="0.25">
      <c r="A84" s="32">
        <v>2</v>
      </c>
      <c r="B84" s="31" t="s">
        <v>156</v>
      </c>
      <c r="C84" s="30" t="s">
        <v>157</v>
      </c>
      <c r="D84" s="29">
        <v>47.270577781999997</v>
      </c>
      <c r="E84" s="29">
        <v>0.67763554469779308</v>
      </c>
      <c r="F84" s="29">
        <v>1.4335249884671977</v>
      </c>
      <c r="G84" s="29">
        <v>47.94821332669779</v>
      </c>
    </row>
    <row r="85" spans="1:7" x14ac:dyDescent="0.25">
      <c r="A85" s="36">
        <v>3</v>
      </c>
      <c r="B85" s="35" t="s">
        <v>158</v>
      </c>
      <c r="C85" s="34" t="s">
        <v>159</v>
      </c>
      <c r="D85" s="33">
        <v>1.8370721308</v>
      </c>
      <c r="E85" s="33">
        <v>-0.10350954074636953</v>
      </c>
      <c r="F85" s="33">
        <v>-5.6344842976466945</v>
      </c>
      <c r="G85" s="33">
        <v>1.7335625900536304</v>
      </c>
    </row>
    <row r="86" spans="1:7" x14ac:dyDescent="0.25">
      <c r="A86" s="36">
        <v>3</v>
      </c>
      <c r="B86" s="35" t="s">
        <v>160</v>
      </c>
      <c r="C86" s="34" t="s">
        <v>161</v>
      </c>
      <c r="D86" s="33">
        <v>4.4376742204999999</v>
      </c>
      <c r="E86" s="33">
        <v>-0.46253324517995864</v>
      </c>
      <c r="F86" s="33">
        <v>-10.422875186359315</v>
      </c>
      <c r="G86" s="33">
        <v>3.9751409753200413</v>
      </c>
    </row>
    <row r="87" spans="1:7" x14ac:dyDescent="0.25">
      <c r="A87" s="36">
        <v>3</v>
      </c>
      <c r="B87" s="35" t="s">
        <v>162</v>
      </c>
      <c r="C87" s="34" t="s">
        <v>163</v>
      </c>
      <c r="D87" s="33">
        <v>1.9171493727</v>
      </c>
      <c r="E87" s="33">
        <v>-3.6875712595820342E-2</v>
      </c>
      <c r="F87" s="33">
        <v>-1.923465804017491</v>
      </c>
      <c r="G87" s="33">
        <v>1.8802736601041796</v>
      </c>
    </row>
    <row r="88" spans="1:7" x14ac:dyDescent="0.25">
      <c r="A88" s="36">
        <v>3</v>
      </c>
      <c r="B88" s="35" t="s">
        <v>164</v>
      </c>
      <c r="C88" s="34" t="s">
        <v>165</v>
      </c>
      <c r="D88" s="33">
        <v>2.6021221943000001</v>
      </c>
      <c r="E88" s="33">
        <v>-0.40094963029875963</v>
      </c>
      <c r="F88" s="33">
        <v>-15.408562717655908</v>
      </c>
      <c r="G88" s="33">
        <v>2.2011725640012405</v>
      </c>
    </row>
    <row r="89" spans="1:7" x14ac:dyDescent="0.25">
      <c r="A89" s="36">
        <v>3</v>
      </c>
      <c r="B89" s="35" t="s">
        <v>166</v>
      </c>
      <c r="C89" s="34" t="s">
        <v>167</v>
      </c>
      <c r="D89" s="33">
        <v>22.997580164999999</v>
      </c>
      <c r="E89" s="33">
        <v>2.595721177662103</v>
      </c>
      <c r="F89" s="33">
        <v>11.286931751248027</v>
      </c>
      <c r="G89" s="33">
        <v>25.593301342662102</v>
      </c>
    </row>
    <row r="90" spans="1:7" x14ac:dyDescent="0.25">
      <c r="A90" s="36">
        <v>3</v>
      </c>
      <c r="B90" s="35" t="s">
        <v>168</v>
      </c>
      <c r="C90" s="34" t="s">
        <v>169</v>
      </c>
      <c r="D90" s="33">
        <v>10.040380752000001</v>
      </c>
      <c r="E90" s="33">
        <v>-0.91891775456869063</v>
      </c>
      <c r="F90" s="33">
        <v>-9.1522201923034263</v>
      </c>
      <c r="G90" s="33">
        <v>9.1214629974313102</v>
      </c>
    </row>
    <row r="91" spans="1:7" x14ac:dyDescent="0.25">
      <c r="A91" s="36">
        <v>3</v>
      </c>
      <c r="B91" s="35" t="s">
        <v>170</v>
      </c>
      <c r="C91" s="34" t="s">
        <v>171</v>
      </c>
      <c r="D91" s="33">
        <v>3.1491864125000002</v>
      </c>
      <c r="E91" s="33">
        <v>4.7002504252944277E-3</v>
      </c>
      <c r="F91" s="33">
        <v>0.1492528485020074</v>
      </c>
      <c r="G91" s="33">
        <v>3.1538866629252946</v>
      </c>
    </row>
    <row r="92" spans="1:7" x14ac:dyDescent="0.25">
      <c r="A92" s="32">
        <v>2</v>
      </c>
      <c r="B92" s="31" t="s">
        <v>172</v>
      </c>
      <c r="C92" s="30" t="s">
        <v>173</v>
      </c>
      <c r="D92" s="29">
        <v>36.739035823000002</v>
      </c>
      <c r="E92" s="29">
        <v>-0.2307775154558982</v>
      </c>
      <c r="F92" s="29">
        <v>-0.62815343485803421</v>
      </c>
      <c r="G92" s="29">
        <v>36.508258307544104</v>
      </c>
    </row>
    <row r="93" spans="1:7" x14ac:dyDescent="0.25">
      <c r="A93" s="36">
        <v>3</v>
      </c>
      <c r="B93" s="35" t="s">
        <v>174</v>
      </c>
      <c r="C93" s="34" t="s">
        <v>175</v>
      </c>
      <c r="D93" s="33">
        <v>0.81112915779999994</v>
      </c>
      <c r="E93" s="33">
        <v>2.4821831172917364E-2</v>
      </c>
      <c r="F93" s="33">
        <v>3.0601576745485066</v>
      </c>
      <c r="G93" s="33">
        <v>0.83595098897291731</v>
      </c>
    </row>
    <row r="94" spans="1:7" x14ac:dyDescent="0.25">
      <c r="A94" s="36">
        <v>3</v>
      </c>
      <c r="B94" s="35" t="s">
        <v>176</v>
      </c>
      <c r="C94" s="34" t="s">
        <v>177</v>
      </c>
      <c r="D94" s="33">
        <v>32.986770806999999</v>
      </c>
      <c r="E94" s="33">
        <v>-0.42473875257643101</v>
      </c>
      <c r="F94" s="33">
        <v>-1.287603309403959</v>
      </c>
      <c r="G94" s="33">
        <v>32.562032054423568</v>
      </c>
    </row>
    <row r="95" spans="1:7" x14ac:dyDescent="0.25">
      <c r="A95" s="36">
        <v>3</v>
      </c>
      <c r="B95" s="35" t="s">
        <v>178</v>
      </c>
      <c r="C95" s="34" t="s">
        <v>179</v>
      </c>
      <c r="D95" s="33">
        <v>3.2055104456999999</v>
      </c>
      <c r="E95" s="33">
        <v>0.16913940594760435</v>
      </c>
      <c r="F95" s="33">
        <v>5.2765201927354424</v>
      </c>
      <c r="G95" s="33">
        <v>3.3746498516476042</v>
      </c>
    </row>
    <row r="96" spans="1:7" x14ac:dyDescent="0.25">
      <c r="A96" s="32">
        <v>2</v>
      </c>
      <c r="B96" s="31" t="s">
        <v>180</v>
      </c>
      <c r="C96" s="30" t="s">
        <v>181</v>
      </c>
      <c r="D96" s="29">
        <v>39.764178786000002</v>
      </c>
      <c r="E96" s="29">
        <v>-1.042111534824123</v>
      </c>
      <c r="F96" s="29">
        <v>-2.6207294269359465</v>
      </c>
      <c r="G96" s="29">
        <v>38.722067251175879</v>
      </c>
    </row>
    <row r="97" spans="1:7" x14ac:dyDescent="0.25">
      <c r="A97" s="36">
        <v>3</v>
      </c>
      <c r="B97" s="35" t="s">
        <v>182</v>
      </c>
      <c r="C97" s="34" t="s">
        <v>183</v>
      </c>
      <c r="D97" s="33">
        <v>1.7460902425</v>
      </c>
      <c r="E97" s="33">
        <v>-6.46691834452644E-2</v>
      </c>
      <c r="F97" s="33">
        <v>-3.7036564245770593</v>
      </c>
      <c r="G97" s="33">
        <v>1.6814210590547356</v>
      </c>
    </row>
    <row r="98" spans="1:7" x14ac:dyDescent="0.25">
      <c r="A98" s="36">
        <v>3</v>
      </c>
      <c r="B98" s="35" t="s">
        <v>184</v>
      </c>
      <c r="C98" s="34" t="s">
        <v>185</v>
      </c>
      <c r="D98" s="33">
        <v>7.5986737584000004</v>
      </c>
      <c r="E98" s="33">
        <v>-3.5011638362818509E-2</v>
      </c>
      <c r="F98" s="33">
        <v>-0.46075985725949453</v>
      </c>
      <c r="G98" s="33">
        <v>7.5636621200371819</v>
      </c>
    </row>
    <row r="99" spans="1:7" x14ac:dyDescent="0.25">
      <c r="A99" s="36">
        <v>3</v>
      </c>
      <c r="B99" s="35" t="s">
        <v>186</v>
      </c>
      <c r="C99" s="34" t="s">
        <v>187</v>
      </c>
      <c r="D99" s="33">
        <v>2.0998793199999999</v>
      </c>
      <c r="E99" s="33">
        <v>-0.38192780801629334</v>
      </c>
      <c r="F99" s="33">
        <v>-18.188083685508811</v>
      </c>
      <c r="G99" s="33">
        <v>1.7179515119837065</v>
      </c>
    </row>
    <row r="100" spans="1:7" x14ac:dyDescent="0.25">
      <c r="A100" s="36">
        <v>3</v>
      </c>
      <c r="B100" s="35" t="s">
        <v>188</v>
      </c>
      <c r="C100" s="34" t="s">
        <v>189</v>
      </c>
      <c r="D100" s="33">
        <v>12.911490408000001</v>
      </c>
      <c r="E100" s="33">
        <v>-0.47347543685413207</v>
      </c>
      <c r="F100" s="33">
        <v>-3.6670858428610629</v>
      </c>
      <c r="G100" s="33">
        <v>12.438014971145869</v>
      </c>
    </row>
    <row r="101" spans="1:7" x14ac:dyDescent="0.25">
      <c r="A101" s="36">
        <v>3</v>
      </c>
      <c r="B101" s="35" t="s">
        <v>190</v>
      </c>
      <c r="C101" s="34" t="s">
        <v>191</v>
      </c>
      <c r="D101" s="33">
        <v>14.282419213000001</v>
      </c>
      <c r="E101" s="33">
        <v>-8.7027468145615572E-2</v>
      </c>
      <c r="F101" s="33">
        <v>-0.60933282273637723</v>
      </c>
      <c r="G101" s="33">
        <v>14.195391744854385</v>
      </c>
    </row>
    <row r="102" spans="1:7" x14ac:dyDescent="0.25">
      <c r="A102" s="32">
        <v>2</v>
      </c>
      <c r="B102" s="31" t="s">
        <v>192</v>
      </c>
      <c r="C102" s="30" t="s">
        <v>193</v>
      </c>
      <c r="D102" s="29">
        <v>69.577963139000005</v>
      </c>
      <c r="E102" s="29">
        <v>0.76572526255006323</v>
      </c>
      <c r="F102" s="29">
        <v>1.1005284259620085</v>
      </c>
      <c r="G102" s="29">
        <v>70.343688401550068</v>
      </c>
    </row>
    <row r="103" spans="1:7" x14ac:dyDescent="0.25">
      <c r="A103" s="36">
        <v>3</v>
      </c>
      <c r="B103" s="35" t="s">
        <v>194</v>
      </c>
      <c r="C103" s="34" t="s">
        <v>195</v>
      </c>
      <c r="D103" s="33">
        <v>2.3061009037</v>
      </c>
      <c r="E103" s="33">
        <v>-5.2867361924984202E-3</v>
      </c>
      <c r="F103" s="33">
        <v>-0.2292499943960028</v>
      </c>
      <c r="G103" s="33">
        <v>2.3008141675075016</v>
      </c>
    </row>
    <row r="104" spans="1:7" x14ac:dyDescent="0.25">
      <c r="A104" s="36">
        <v>3</v>
      </c>
      <c r="B104" s="35" t="s">
        <v>196</v>
      </c>
      <c r="C104" s="34" t="s">
        <v>197</v>
      </c>
      <c r="D104" s="33">
        <v>32.035694863000003</v>
      </c>
      <c r="E104" s="33">
        <v>1.189931895246481</v>
      </c>
      <c r="F104" s="33">
        <v>3.7143938982288369</v>
      </c>
      <c r="G104" s="33">
        <v>33.225626758246484</v>
      </c>
    </row>
    <row r="105" spans="1:7" x14ac:dyDescent="0.25">
      <c r="A105" s="36">
        <v>3</v>
      </c>
      <c r="B105" s="35" t="s">
        <v>198</v>
      </c>
      <c r="C105" s="34" t="s">
        <v>199</v>
      </c>
      <c r="D105" s="33">
        <v>6.0939887735999996</v>
      </c>
      <c r="E105" s="33">
        <v>0</v>
      </c>
      <c r="F105" s="33">
        <v>0</v>
      </c>
      <c r="G105" s="33">
        <v>6.0939887735999996</v>
      </c>
    </row>
    <row r="106" spans="1:7" x14ac:dyDescent="0.25">
      <c r="A106" s="36">
        <v>3</v>
      </c>
      <c r="B106" s="35" t="s">
        <v>200</v>
      </c>
      <c r="C106" s="34" t="s">
        <v>201</v>
      </c>
      <c r="D106" s="33">
        <v>19.113082051999999</v>
      </c>
      <c r="E106" s="33">
        <v>-0.63495089344177913</v>
      </c>
      <c r="F106" s="33">
        <v>-3.3220748580176664</v>
      </c>
      <c r="G106" s="33">
        <v>18.47813115855822</v>
      </c>
    </row>
    <row r="107" spans="1:7" x14ac:dyDescent="0.25">
      <c r="A107" s="36">
        <v>3</v>
      </c>
      <c r="B107" s="35" t="s">
        <v>202</v>
      </c>
      <c r="C107" s="34" t="s">
        <v>203</v>
      </c>
      <c r="D107" s="33">
        <v>9.2797548631000009</v>
      </c>
      <c r="E107" s="33">
        <v>0.21603099693785666</v>
      </c>
      <c r="F107" s="33">
        <v>2.3279817206905098</v>
      </c>
      <c r="G107" s="33">
        <v>9.4957858600378575</v>
      </c>
    </row>
    <row r="108" spans="1:7" x14ac:dyDescent="0.25">
      <c r="A108" s="32">
        <v>2</v>
      </c>
      <c r="B108" s="31" t="s">
        <v>204</v>
      </c>
      <c r="C108" s="30" t="s">
        <v>205</v>
      </c>
      <c r="D108" s="29">
        <v>66.503741844000004</v>
      </c>
      <c r="E108" s="29">
        <v>1.0145562093401139</v>
      </c>
      <c r="F108" s="29">
        <v>1.5255625942371656</v>
      </c>
      <c r="G108" s="29">
        <v>67.518298053340118</v>
      </c>
    </row>
    <row r="109" spans="1:7" x14ac:dyDescent="0.25">
      <c r="A109" s="36">
        <v>3</v>
      </c>
      <c r="B109" s="35" t="s">
        <v>206</v>
      </c>
      <c r="C109" s="34" t="s">
        <v>207</v>
      </c>
      <c r="D109" s="33">
        <v>1.6810661111</v>
      </c>
      <c r="E109" s="33">
        <v>-7.1268824884656023E-2</v>
      </c>
      <c r="F109" s="33">
        <v>-4.2395016123441751</v>
      </c>
      <c r="G109" s="33">
        <v>1.609797286215344</v>
      </c>
    </row>
    <row r="110" spans="1:7" x14ac:dyDescent="0.25">
      <c r="A110" s="36">
        <v>3</v>
      </c>
      <c r="B110" s="35" t="s">
        <v>208</v>
      </c>
      <c r="C110" s="34" t="s">
        <v>209</v>
      </c>
      <c r="D110" s="33">
        <v>0.57066527160000002</v>
      </c>
      <c r="E110" s="33">
        <v>2.5539210479815666E-2</v>
      </c>
      <c r="F110" s="33">
        <v>4.4753398797530171</v>
      </c>
      <c r="G110" s="33">
        <v>0.59620448207981569</v>
      </c>
    </row>
    <row r="111" spans="1:7" x14ac:dyDescent="0.25">
      <c r="A111" s="36">
        <v>3</v>
      </c>
      <c r="B111" s="35" t="s">
        <v>210</v>
      </c>
      <c r="C111" s="34" t="s">
        <v>211</v>
      </c>
      <c r="D111" s="33">
        <v>35.019007829000003</v>
      </c>
      <c r="E111" s="33">
        <v>3.167514090600335</v>
      </c>
      <c r="F111" s="33">
        <v>9.0451280232367051</v>
      </c>
      <c r="G111" s="33">
        <v>38.186521919600338</v>
      </c>
    </row>
    <row r="112" spans="1:7" x14ac:dyDescent="0.25">
      <c r="A112" s="36">
        <v>3</v>
      </c>
      <c r="B112" s="35" t="s">
        <v>212</v>
      </c>
      <c r="C112" s="34" t="s">
        <v>213</v>
      </c>
      <c r="D112" s="33">
        <v>7.5704325244000001</v>
      </c>
      <c r="E112" s="33">
        <v>-0.60155446694083281</v>
      </c>
      <c r="F112" s="33">
        <v>-7.9461043342237501</v>
      </c>
      <c r="G112" s="33">
        <v>6.9688780574591673</v>
      </c>
    </row>
    <row r="113" spans="1:7" x14ac:dyDescent="0.25">
      <c r="A113" s="36">
        <v>3</v>
      </c>
      <c r="B113" s="35" t="s">
        <v>214</v>
      </c>
      <c r="C113" s="34" t="s">
        <v>215</v>
      </c>
      <c r="D113" s="33">
        <v>1.9050283266000001</v>
      </c>
      <c r="E113" s="33">
        <v>-4.0328024735174939E-2</v>
      </c>
      <c r="F113" s="33">
        <v>-2.1169252011675015</v>
      </c>
      <c r="G113" s="33">
        <v>1.8647003018648252</v>
      </c>
    </row>
    <row r="114" spans="1:7" x14ac:dyDescent="0.25">
      <c r="A114" s="36">
        <v>3</v>
      </c>
      <c r="B114" s="35" t="s">
        <v>216</v>
      </c>
      <c r="C114" s="34" t="s">
        <v>217</v>
      </c>
      <c r="D114" s="33">
        <v>22.154144555999999</v>
      </c>
      <c r="E114" s="33">
        <v>-1.4653457751794043</v>
      </c>
      <c r="F114" s="33">
        <v>-6.6143189211182856</v>
      </c>
      <c r="G114" s="33">
        <v>20.688798780820594</v>
      </c>
    </row>
    <row r="115" spans="1:7" x14ac:dyDescent="0.25">
      <c r="A115" s="32">
        <v>2</v>
      </c>
      <c r="B115" s="31" t="s">
        <v>218</v>
      </c>
      <c r="C115" s="30" t="s">
        <v>219</v>
      </c>
      <c r="D115" s="29">
        <v>66.491403520999995</v>
      </c>
      <c r="E115" s="29">
        <v>-4.6395515333301773E-2</v>
      </c>
      <c r="F115" s="29">
        <v>-6.9776712291309453E-2</v>
      </c>
      <c r="G115" s="29">
        <v>66.445008005666693</v>
      </c>
    </row>
    <row r="116" spans="1:7" x14ac:dyDescent="0.25">
      <c r="A116" s="36">
        <v>3</v>
      </c>
      <c r="B116" s="35" t="s">
        <v>220</v>
      </c>
      <c r="C116" s="34" t="s">
        <v>221</v>
      </c>
      <c r="D116" s="33">
        <v>0.2543144228</v>
      </c>
      <c r="E116" s="33">
        <v>-4.4112632754564007E-2</v>
      </c>
      <c r="F116" s="33">
        <v>-17.345706259552344</v>
      </c>
      <c r="G116" s="33">
        <v>0.21020179004543599</v>
      </c>
    </row>
    <row r="117" spans="1:7" x14ac:dyDescent="0.25">
      <c r="A117" s="36">
        <v>3</v>
      </c>
      <c r="B117" s="35" t="s">
        <v>222</v>
      </c>
      <c r="C117" s="34" t="s">
        <v>223</v>
      </c>
      <c r="D117" s="33">
        <v>35.698127507999999</v>
      </c>
      <c r="E117" s="33">
        <v>0.27046041927813746</v>
      </c>
      <c r="F117" s="33">
        <v>0.75763194923186628</v>
      </c>
      <c r="G117" s="33">
        <v>35.968587927278136</v>
      </c>
    </row>
    <row r="118" spans="1:7" x14ac:dyDescent="0.25">
      <c r="A118" s="36">
        <v>3</v>
      </c>
      <c r="B118" s="35" t="s">
        <v>224</v>
      </c>
      <c r="C118" s="34" t="s">
        <v>225</v>
      </c>
      <c r="D118" s="33">
        <v>29.759391232999999</v>
      </c>
      <c r="E118" s="33">
        <v>-0.27274330185687745</v>
      </c>
      <c r="F118" s="33">
        <v>-0.91649489642259252</v>
      </c>
      <c r="G118" s="33">
        <v>29.486647931143121</v>
      </c>
    </row>
    <row r="119" spans="1:7" x14ac:dyDescent="0.25">
      <c r="A119" s="32">
        <v>2</v>
      </c>
      <c r="B119" s="31" t="s">
        <v>226</v>
      </c>
      <c r="C119" s="30" t="s">
        <v>227</v>
      </c>
      <c r="D119" s="29">
        <v>114.87726192</v>
      </c>
      <c r="E119" s="29">
        <v>0.40351967029056368</v>
      </c>
      <c r="F119" s="29">
        <v>0.35126156695097155</v>
      </c>
      <c r="G119" s="29">
        <v>115.28078159029056</v>
      </c>
    </row>
    <row r="120" spans="1:7" x14ac:dyDescent="0.25">
      <c r="A120" s="36">
        <v>3</v>
      </c>
      <c r="B120" s="35" t="s">
        <v>228</v>
      </c>
      <c r="C120" s="34" t="s">
        <v>229</v>
      </c>
      <c r="D120" s="33">
        <v>8.4000321256999992</v>
      </c>
      <c r="E120" s="33">
        <v>-0.43715340259267155</v>
      </c>
      <c r="F120" s="33">
        <v>-5.2041872703700198</v>
      </c>
      <c r="G120" s="33">
        <v>7.9628787231073277</v>
      </c>
    </row>
    <row r="121" spans="1:7" x14ac:dyDescent="0.25">
      <c r="A121" s="36">
        <v>3</v>
      </c>
      <c r="B121" s="35" t="s">
        <v>230</v>
      </c>
      <c r="C121" s="34" t="s">
        <v>231</v>
      </c>
      <c r="D121" s="33">
        <v>21.775956483000002</v>
      </c>
      <c r="E121" s="33">
        <v>0.94696869716594279</v>
      </c>
      <c r="F121" s="33">
        <v>4.3486893349792455</v>
      </c>
      <c r="G121" s="33">
        <v>22.722925180165944</v>
      </c>
    </row>
    <row r="122" spans="1:7" x14ac:dyDescent="0.25">
      <c r="A122" s="36">
        <v>3</v>
      </c>
      <c r="B122" s="35" t="s">
        <v>232</v>
      </c>
      <c r="C122" s="34" t="s">
        <v>233</v>
      </c>
      <c r="D122" s="33">
        <v>14.152362501000001</v>
      </c>
      <c r="E122" s="33">
        <v>-0.24045258011263826</v>
      </c>
      <c r="F122" s="33">
        <v>-1.6990278484998387</v>
      </c>
      <c r="G122" s="33">
        <v>13.911909920887362</v>
      </c>
    </row>
    <row r="123" spans="1:7" x14ac:dyDescent="0.25">
      <c r="A123" s="36">
        <v>3</v>
      </c>
      <c r="B123" s="35" t="s">
        <v>234</v>
      </c>
      <c r="C123" s="34" t="s">
        <v>235</v>
      </c>
      <c r="D123" s="33">
        <v>15.975299890000001</v>
      </c>
      <c r="E123" s="33">
        <v>-0.57814420646672815</v>
      </c>
      <c r="F123" s="33">
        <v>-3.6189881282205349</v>
      </c>
      <c r="G123" s="33">
        <v>15.397155683533272</v>
      </c>
    </row>
    <row r="124" spans="1:7" x14ac:dyDescent="0.25">
      <c r="A124" s="36">
        <v>3</v>
      </c>
      <c r="B124" s="35" t="s">
        <v>236</v>
      </c>
      <c r="C124" s="34" t="s">
        <v>237</v>
      </c>
      <c r="D124" s="33">
        <v>9.0986903763000004</v>
      </c>
      <c r="E124" s="33">
        <v>0.82047453738717202</v>
      </c>
      <c r="F124" s="33">
        <v>9.0175014584991242</v>
      </c>
      <c r="G124" s="33">
        <v>9.9191649136871725</v>
      </c>
    </row>
    <row r="125" spans="1:7" x14ac:dyDescent="0.25">
      <c r="A125" s="36">
        <v>3</v>
      </c>
      <c r="B125" s="35" t="s">
        <v>238</v>
      </c>
      <c r="C125" s="34" t="s">
        <v>239</v>
      </c>
      <c r="D125" s="33">
        <v>4.2619988621999996</v>
      </c>
      <c r="E125" s="33">
        <v>-0.16884751413989729</v>
      </c>
      <c r="F125" s="33">
        <v>-3.9616977760697938</v>
      </c>
      <c r="G125" s="33">
        <v>4.0931513480601023</v>
      </c>
    </row>
    <row r="126" spans="1:7" x14ac:dyDescent="0.25">
      <c r="A126" s="36">
        <v>3</v>
      </c>
      <c r="B126" s="35" t="s">
        <v>240</v>
      </c>
      <c r="C126" s="34" t="s">
        <v>241</v>
      </c>
      <c r="D126" s="33">
        <v>21.034428482999999</v>
      </c>
      <c r="E126" s="33">
        <v>0.10405080973023928</v>
      </c>
      <c r="F126" s="33">
        <v>0.49466906036611846</v>
      </c>
      <c r="G126" s="33">
        <v>21.138479292730239</v>
      </c>
    </row>
    <row r="127" spans="1:7" x14ac:dyDescent="0.25">
      <c r="A127" s="36">
        <v>3</v>
      </c>
      <c r="B127" s="35" t="s">
        <v>242</v>
      </c>
      <c r="C127" s="34" t="s">
        <v>243</v>
      </c>
      <c r="D127" s="33">
        <v>21.950283795000001</v>
      </c>
      <c r="E127" s="33">
        <v>-4.337667068085338E-2</v>
      </c>
      <c r="F127" s="33">
        <v>-0.19761325678501726</v>
      </c>
      <c r="G127" s="33">
        <v>21.906907124319147</v>
      </c>
    </row>
    <row r="128" spans="1:7" x14ac:dyDescent="0.25">
      <c r="A128" s="32">
        <v>2</v>
      </c>
      <c r="B128" s="31" t="s">
        <v>244</v>
      </c>
      <c r="C128" s="30" t="s">
        <v>245</v>
      </c>
      <c r="D128" s="29">
        <v>67.450664330999999</v>
      </c>
      <c r="E128" s="29">
        <v>1.4659585608852268</v>
      </c>
      <c r="F128" s="29">
        <v>2.1733789806596158</v>
      </c>
      <c r="G128" s="29">
        <v>68.916622891885225</v>
      </c>
    </row>
    <row r="129" spans="1:7" x14ac:dyDescent="0.25">
      <c r="A129" s="36">
        <v>3</v>
      </c>
      <c r="B129" s="35" t="s">
        <v>246</v>
      </c>
      <c r="C129" s="34" t="s">
        <v>247</v>
      </c>
      <c r="D129" s="33">
        <v>1.1973410355</v>
      </c>
      <c r="E129" s="33">
        <v>0</v>
      </c>
      <c r="F129" s="33">
        <v>0</v>
      </c>
      <c r="G129" s="33">
        <v>1.1973410355</v>
      </c>
    </row>
    <row r="130" spans="1:7" x14ac:dyDescent="0.25">
      <c r="A130" s="36">
        <v>3</v>
      </c>
      <c r="B130" s="35" t="s">
        <v>248</v>
      </c>
      <c r="C130" s="34" t="s">
        <v>249</v>
      </c>
      <c r="D130" s="33">
        <v>43.580215283999998</v>
      </c>
      <c r="E130" s="33">
        <v>-7.8215029489456356E-2</v>
      </c>
      <c r="F130" s="33">
        <v>-0.17947371067295337</v>
      </c>
      <c r="G130" s="33">
        <v>43.502000254510541</v>
      </c>
    </row>
    <row r="131" spans="1:7" x14ac:dyDescent="0.25">
      <c r="A131" s="36">
        <v>3</v>
      </c>
      <c r="B131" s="35" t="s">
        <v>250</v>
      </c>
      <c r="C131" s="34" t="s">
        <v>251</v>
      </c>
      <c r="D131" s="33">
        <v>22.214578247999999</v>
      </c>
      <c r="E131" s="33">
        <v>1.5441735903746867</v>
      </c>
      <c r="F131" s="33">
        <v>6.9511722128405031</v>
      </c>
      <c r="G131" s="33">
        <v>23.758751838374685</v>
      </c>
    </row>
    <row r="132" spans="1:7" x14ac:dyDescent="0.25">
      <c r="A132" s="32">
        <v>2</v>
      </c>
      <c r="B132" s="31" t="s">
        <v>252</v>
      </c>
      <c r="C132" s="30" t="s">
        <v>253</v>
      </c>
      <c r="D132" s="29">
        <v>3.5363841887</v>
      </c>
      <c r="E132" s="29">
        <v>-0.31870868935028129</v>
      </c>
      <c r="F132" s="29">
        <v>-9.0122755997119448</v>
      </c>
      <c r="G132" s="29">
        <v>3.2176754993497187</v>
      </c>
    </row>
    <row r="133" spans="1:7" x14ac:dyDescent="0.25">
      <c r="A133" s="28">
        <v>3</v>
      </c>
      <c r="B133" s="27" t="s">
        <v>254</v>
      </c>
      <c r="C133" s="26" t="s">
        <v>253</v>
      </c>
      <c r="D133" s="25">
        <v>3.5363841887</v>
      </c>
      <c r="E133" s="25">
        <v>-0.31870868935028174</v>
      </c>
      <c r="F133" s="25">
        <v>-9.0122755997119572</v>
      </c>
      <c r="G133" s="25">
        <v>3.2176754993497183</v>
      </c>
    </row>
    <row r="134" spans="1:7" x14ac:dyDescent="0.25">
      <c r="A134" s="40">
        <v>1</v>
      </c>
      <c r="B134" s="39" t="s">
        <v>255</v>
      </c>
      <c r="C134" s="38" t="s">
        <v>256</v>
      </c>
      <c r="D134" s="37">
        <v>154.5402757</v>
      </c>
      <c r="E134" s="37">
        <v>6.8042005979082489</v>
      </c>
      <c r="F134" s="37">
        <v>4.4028655747430179</v>
      </c>
      <c r="G134" s="37">
        <v>161.34447629790824</v>
      </c>
    </row>
    <row r="135" spans="1:7" x14ac:dyDescent="0.25">
      <c r="A135" s="32">
        <v>2</v>
      </c>
      <c r="B135" s="31" t="s">
        <v>257</v>
      </c>
      <c r="C135" s="30" t="s">
        <v>258</v>
      </c>
      <c r="D135" s="29">
        <v>66.207101160999997</v>
      </c>
      <c r="E135" s="29">
        <v>0.83269029593505195</v>
      </c>
      <c r="F135" s="29">
        <v>1.2577054142729285</v>
      </c>
      <c r="G135" s="29">
        <v>67.039791456935049</v>
      </c>
    </row>
    <row r="136" spans="1:7" x14ac:dyDescent="0.25">
      <c r="A136" s="36">
        <v>3</v>
      </c>
      <c r="B136" s="35" t="s">
        <v>259</v>
      </c>
      <c r="C136" s="34" t="s">
        <v>260</v>
      </c>
      <c r="D136" s="33">
        <v>21.120278237000001</v>
      </c>
      <c r="E136" s="33">
        <v>0</v>
      </c>
      <c r="F136" s="33">
        <v>0</v>
      </c>
      <c r="G136" s="33">
        <v>21.120278237000001</v>
      </c>
    </row>
    <row r="137" spans="1:7" x14ac:dyDescent="0.25">
      <c r="A137" s="36">
        <v>3</v>
      </c>
      <c r="B137" s="35" t="s">
        <v>261</v>
      </c>
      <c r="C137" s="34" t="s">
        <v>262</v>
      </c>
      <c r="D137" s="33">
        <v>14.29786885</v>
      </c>
      <c r="E137" s="33">
        <v>0.14836602524824194</v>
      </c>
      <c r="F137" s="33">
        <v>1.0376792989553958</v>
      </c>
      <c r="G137" s="33">
        <v>14.446234875248242</v>
      </c>
    </row>
    <row r="138" spans="1:7" x14ac:dyDescent="0.25">
      <c r="A138" s="36">
        <v>3</v>
      </c>
      <c r="B138" s="35" t="s">
        <v>263</v>
      </c>
      <c r="C138" s="34" t="s">
        <v>264</v>
      </c>
      <c r="D138" s="33">
        <v>2.5227030624000002</v>
      </c>
      <c r="E138" s="33">
        <v>-7.1453563263505604E-2</v>
      </c>
      <c r="F138" s="33">
        <v>-2.8324206811533146</v>
      </c>
      <c r="G138" s="33">
        <v>2.4512494991364946</v>
      </c>
    </row>
    <row r="139" spans="1:7" x14ac:dyDescent="0.25">
      <c r="A139" s="36">
        <v>3</v>
      </c>
      <c r="B139" s="35" t="s">
        <v>265</v>
      </c>
      <c r="C139" s="34" t="s">
        <v>266</v>
      </c>
      <c r="D139" s="33">
        <v>19.682405697</v>
      </c>
      <c r="E139" s="33">
        <v>-0.16995851146758056</v>
      </c>
      <c r="F139" s="33">
        <v>-0.86350476706963575</v>
      </c>
      <c r="G139" s="33">
        <v>19.51244718553242</v>
      </c>
    </row>
    <row r="140" spans="1:7" x14ac:dyDescent="0.25">
      <c r="A140" s="36">
        <v>3</v>
      </c>
      <c r="B140" s="35" t="s">
        <v>267</v>
      </c>
      <c r="C140" s="34" t="s">
        <v>268</v>
      </c>
      <c r="D140" s="33">
        <v>10.469988393</v>
      </c>
      <c r="E140" s="33">
        <v>0.92573634541789396</v>
      </c>
      <c r="F140" s="33">
        <v>8.8418087076086973</v>
      </c>
      <c r="G140" s="33">
        <v>11.395724738417893</v>
      </c>
    </row>
    <row r="141" spans="1:7" x14ac:dyDescent="0.25">
      <c r="A141" s="32">
        <v>2</v>
      </c>
      <c r="B141" s="31" t="s">
        <v>269</v>
      </c>
      <c r="C141" s="30" t="s">
        <v>270</v>
      </c>
      <c r="D141" s="29">
        <v>9.2034088934000007</v>
      </c>
      <c r="E141" s="29">
        <v>-0.64536682080255581</v>
      </c>
      <c r="F141" s="29">
        <v>-7.0122584824560477</v>
      </c>
      <c r="G141" s="29">
        <v>8.5580420725974449</v>
      </c>
    </row>
    <row r="142" spans="1:7" x14ac:dyDescent="0.25">
      <c r="A142" s="36">
        <v>3</v>
      </c>
      <c r="B142" s="35" t="s">
        <v>271</v>
      </c>
      <c r="C142" s="34" t="s">
        <v>270</v>
      </c>
      <c r="D142" s="33">
        <v>9.2034088934000007</v>
      </c>
      <c r="E142" s="33">
        <v>-0.64536682080255581</v>
      </c>
      <c r="F142" s="33">
        <v>-7.0122584824560477</v>
      </c>
      <c r="G142" s="33">
        <v>8.5580420725974449</v>
      </c>
    </row>
    <row r="143" spans="1:7" x14ac:dyDescent="0.25">
      <c r="A143" s="32">
        <v>2</v>
      </c>
      <c r="B143" s="31" t="s">
        <v>272</v>
      </c>
      <c r="C143" s="30" t="s">
        <v>273</v>
      </c>
      <c r="D143" s="29">
        <v>35.981539837</v>
      </c>
      <c r="E143" s="29">
        <v>2.2600988413183529</v>
      </c>
      <c r="F143" s="29">
        <v>6.281273262780938</v>
      </c>
      <c r="G143" s="29">
        <v>38.241638678318353</v>
      </c>
    </row>
    <row r="144" spans="1:7" x14ac:dyDescent="0.25">
      <c r="A144" s="36">
        <v>3</v>
      </c>
      <c r="B144" s="35" t="s">
        <v>274</v>
      </c>
      <c r="C144" s="34" t="s">
        <v>273</v>
      </c>
      <c r="D144" s="33">
        <v>35.981539837</v>
      </c>
      <c r="E144" s="33">
        <v>2.2600988413183529</v>
      </c>
      <c r="F144" s="33">
        <v>6.281273262780938</v>
      </c>
      <c r="G144" s="33">
        <v>38.241638678318353</v>
      </c>
    </row>
    <row r="145" spans="1:7" x14ac:dyDescent="0.25">
      <c r="A145" s="32">
        <v>2</v>
      </c>
      <c r="B145" s="31" t="s">
        <v>275</v>
      </c>
      <c r="C145" s="30" t="s">
        <v>276</v>
      </c>
      <c r="D145" s="29">
        <v>40.906665850000003</v>
      </c>
      <c r="E145" s="29">
        <v>4.3567782814574159</v>
      </c>
      <c r="F145" s="29">
        <v>10.650533821145961</v>
      </c>
      <c r="G145" s="29">
        <v>45.263444131457419</v>
      </c>
    </row>
    <row r="146" spans="1:7" x14ac:dyDescent="0.25">
      <c r="A146" s="36">
        <v>3</v>
      </c>
      <c r="B146" s="35" t="s">
        <v>277</v>
      </c>
      <c r="C146" s="34" t="s">
        <v>278</v>
      </c>
      <c r="D146" s="33">
        <v>4.2395888159000004</v>
      </c>
      <c r="E146" s="33">
        <v>0.30831281099835017</v>
      </c>
      <c r="F146" s="33">
        <v>7.2722338034779455</v>
      </c>
      <c r="G146" s="33">
        <v>4.5479016268983505</v>
      </c>
    </row>
    <row r="147" spans="1:7" x14ac:dyDescent="0.25">
      <c r="A147" s="36">
        <v>3</v>
      </c>
      <c r="B147" s="35" t="s">
        <v>279</v>
      </c>
      <c r="C147" s="34" t="s">
        <v>280</v>
      </c>
      <c r="D147" s="33">
        <v>21.729405411999998</v>
      </c>
      <c r="E147" s="33">
        <v>2.252477592766958</v>
      </c>
      <c r="F147" s="33">
        <v>10.36603418298337</v>
      </c>
      <c r="G147" s="33">
        <v>23.981883004766956</v>
      </c>
    </row>
    <row r="148" spans="1:7" x14ac:dyDescent="0.25">
      <c r="A148" s="36">
        <v>3</v>
      </c>
      <c r="B148" s="35" t="s">
        <v>281</v>
      </c>
      <c r="C148" s="34" t="s">
        <v>282</v>
      </c>
      <c r="D148" s="33">
        <v>14.574715275000001</v>
      </c>
      <c r="E148" s="33">
        <v>1.7959878776921112</v>
      </c>
      <c r="F148" s="33">
        <v>12.322627535460457</v>
      </c>
      <c r="G148" s="33">
        <v>16.370703152692112</v>
      </c>
    </row>
    <row r="149" spans="1:7" x14ac:dyDescent="0.25">
      <c r="A149" s="32">
        <v>2</v>
      </c>
      <c r="B149" s="31" t="s">
        <v>283</v>
      </c>
      <c r="C149" s="30" t="s">
        <v>284</v>
      </c>
      <c r="D149" s="29">
        <v>0.54463237259999997</v>
      </c>
      <c r="E149" s="29">
        <v>0</v>
      </c>
      <c r="F149" s="29">
        <v>0</v>
      </c>
      <c r="G149" s="29">
        <v>0.54463237259999997</v>
      </c>
    </row>
    <row r="150" spans="1:7" x14ac:dyDescent="0.25">
      <c r="A150" s="28">
        <v>3</v>
      </c>
      <c r="B150" s="27" t="s">
        <v>285</v>
      </c>
      <c r="C150" s="26" t="s">
        <v>284</v>
      </c>
      <c r="D150" s="25">
        <v>0.54463237259999997</v>
      </c>
      <c r="E150" s="25">
        <v>0</v>
      </c>
      <c r="F150" s="25">
        <v>0</v>
      </c>
      <c r="G150" s="25">
        <v>0.54463237259999997</v>
      </c>
    </row>
    <row r="151" spans="1:7" x14ac:dyDescent="0.25">
      <c r="A151" s="40">
        <v>1</v>
      </c>
      <c r="B151" s="39" t="s">
        <v>286</v>
      </c>
      <c r="C151" s="38" t="s">
        <v>287</v>
      </c>
      <c r="D151" s="37">
        <v>1169.1874800000001</v>
      </c>
      <c r="E151" s="47">
        <v>113.66207577979935</v>
      </c>
      <c r="F151" s="37">
        <v>9.7214585106401721</v>
      </c>
      <c r="G151" s="37">
        <v>1282.8495557797994</v>
      </c>
    </row>
    <row r="152" spans="1:7" x14ac:dyDescent="0.25">
      <c r="A152" s="32">
        <v>2</v>
      </c>
      <c r="B152" s="31" t="s">
        <v>288</v>
      </c>
      <c r="C152" s="30" t="s">
        <v>289</v>
      </c>
      <c r="D152" s="29">
        <v>322.89171477000002</v>
      </c>
      <c r="E152" s="45">
        <v>30.472475929244126</v>
      </c>
      <c r="F152" s="29">
        <v>9.4373669361414461</v>
      </c>
      <c r="G152" s="29">
        <v>353.36419069924415</v>
      </c>
    </row>
    <row r="153" spans="1:7" x14ac:dyDescent="0.25">
      <c r="A153" s="36">
        <v>3</v>
      </c>
      <c r="B153" s="35" t="s">
        <v>290</v>
      </c>
      <c r="C153" s="34" t="s">
        <v>291</v>
      </c>
      <c r="D153" s="33">
        <v>112.54001332999999</v>
      </c>
      <c r="E153" s="46">
        <v>10.545808202129066</v>
      </c>
      <c r="F153" s="33">
        <v>9.3707188137659934</v>
      </c>
      <c r="G153" s="33">
        <v>123.08582153212906</v>
      </c>
    </row>
    <row r="154" spans="1:7" x14ac:dyDescent="0.25">
      <c r="A154" s="36">
        <v>3</v>
      </c>
      <c r="B154" s="35" t="s">
        <v>292</v>
      </c>
      <c r="C154" s="34" t="s">
        <v>293</v>
      </c>
      <c r="D154" s="33">
        <v>139.53265106000001</v>
      </c>
      <c r="E154" s="46">
        <v>11.406464811904954</v>
      </c>
      <c r="F154" s="33">
        <v>8.174763917443304</v>
      </c>
      <c r="G154" s="33">
        <v>150.93911587190496</v>
      </c>
    </row>
    <row r="155" spans="1:7" x14ac:dyDescent="0.25">
      <c r="A155" s="36">
        <v>3</v>
      </c>
      <c r="B155" s="35" t="s">
        <v>294</v>
      </c>
      <c r="C155" s="34" t="s">
        <v>295</v>
      </c>
      <c r="D155" s="33">
        <v>68.396419424000001</v>
      </c>
      <c r="E155" s="46">
        <v>8.5202029152101204</v>
      </c>
      <c r="F155" s="33">
        <v>12.457089109288107</v>
      </c>
      <c r="G155" s="33">
        <v>76.916622339210122</v>
      </c>
    </row>
    <row r="156" spans="1:7" x14ac:dyDescent="0.25">
      <c r="A156" s="32">
        <v>2</v>
      </c>
      <c r="B156" s="31" t="s">
        <v>296</v>
      </c>
      <c r="C156" s="30" t="s">
        <v>297</v>
      </c>
      <c r="D156" s="29">
        <v>105.19403893</v>
      </c>
      <c r="E156" s="45">
        <v>15.115683933242209</v>
      </c>
      <c r="F156" s="29">
        <v>14.369335075441626</v>
      </c>
      <c r="G156" s="29">
        <v>120.30972286324221</v>
      </c>
    </row>
    <row r="157" spans="1:7" x14ac:dyDescent="0.25">
      <c r="A157" s="36">
        <v>3</v>
      </c>
      <c r="B157" s="35" t="s">
        <v>298</v>
      </c>
      <c r="C157" s="34" t="s">
        <v>297</v>
      </c>
      <c r="D157" s="33">
        <v>105.19403893</v>
      </c>
      <c r="E157" s="46">
        <v>15.115683933242209</v>
      </c>
      <c r="F157" s="33">
        <v>14.369335075441626</v>
      </c>
      <c r="G157" s="33">
        <v>120.30972286324221</v>
      </c>
    </row>
    <row r="158" spans="1:7" x14ac:dyDescent="0.25">
      <c r="A158" s="32">
        <v>2</v>
      </c>
      <c r="B158" s="31" t="s">
        <v>299</v>
      </c>
      <c r="C158" s="30" t="s">
        <v>300</v>
      </c>
      <c r="D158" s="29">
        <v>733.85371119000001</v>
      </c>
      <c r="E158" s="45">
        <v>67.983843266099598</v>
      </c>
      <c r="F158" s="29">
        <v>9.263950325448187</v>
      </c>
      <c r="G158" s="29">
        <v>801.83755445609961</v>
      </c>
    </row>
    <row r="159" spans="1:7" x14ac:dyDescent="0.25">
      <c r="A159" s="36">
        <v>3</v>
      </c>
      <c r="B159" s="35" t="s">
        <v>301</v>
      </c>
      <c r="C159" s="34" t="s">
        <v>302</v>
      </c>
      <c r="D159" s="33">
        <v>4.7963996849999999</v>
      </c>
      <c r="E159" s="46">
        <v>0.45214121568216914</v>
      </c>
      <c r="F159" s="33">
        <v>9.4266792881371213</v>
      </c>
      <c r="G159" s="33">
        <v>5.2485409006821691</v>
      </c>
    </row>
    <row r="160" spans="1:7" x14ac:dyDescent="0.25">
      <c r="A160" s="36">
        <v>3</v>
      </c>
      <c r="B160" s="35" t="s">
        <v>303</v>
      </c>
      <c r="C160" s="34" t="s">
        <v>304</v>
      </c>
      <c r="D160" s="33">
        <v>57.914230125000003</v>
      </c>
      <c r="E160" s="46">
        <v>6.0081232262358242</v>
      </c>
      <c r="F160" s="33">
        <v>10.374174383857138</v>
      </c>
      <c r="G160" s="33">
        <v>63.922353351235827</v>
      </c>
    </row>
    <row r="161" spans="1:7" x14ac:dyDescent="0.25">
      <c r="A161" s="36">
        <v>3</v>
      </c>
      <c r="B161" s="35" t="s">
        <v>305</v>
      </c>
      <c r="C161" s="34" t="s">
        <v>306</v>
      </c>
      <c r="D161" s="33">
        <v>98.979468272999995</v>
      </c>
      <c r="E161" s="46">
        <v>10.791931310190066</v>
      </c>
      <c r="F161" s="33">
        <v>10.903201945300742</v>
      </c>
      <c r="G161" s="33">
        <v>109.77139958319006</v>
      </c>
    </row>
    <row r="162" spans="1:7" x14ac:dyDescent="0.25">
      <c r="A162" s="36">
        <v>3</v>
      </c>
      <c r="B162" s="35" t="s">
        <v>307</v>
      </c>
      <c r="C162" s="34" t="s">
        <v>308</v>
      </c>
      <c r="D162" s="33">
        <v>252.41162584</v>
      </c>
      <c r="E162" s="46">
        <v>21.555967618156103</v>
      </c>
      <c r="F162" s="33">
        <v>8.5400058521155877</v>
      </c>
      <c r="G162" s="33">
        <v>273.9675934581561</v>
      </c>
    </row>
    <row r="163" spans="1:7" x14ac:dyDescent="0.25">
      <c r="A163" s="36">
        <v>3</v>
      </c>
      <c r="B163" s="35" t="s">
        <v>309</v>
      </c>
      <c r="C163" s="34" t="s">
        <v>310</v>
      </c>
      <c r="D163" s="33">
        <v>210.10306241000001</v>
      </c>
      <c r="E163" s="46">
        <v>15.402390027462786</v>
      </c>
      <c r="F163" s="33">
        <v>7.3308736440053419</v>
      </c>
      <c r="G163" s="33">
        <v>225.50545243746279</v>
      </c>
    </row>
    <row r="164" spans="1:7" x14ac:dyDescent="0.25">
      <c r="A164" s="36">
        <v>3</v>
      </c>
      <c r="B164" s="35" t="s">
        <v>311</v>
      </c>
      <c r="C164" s="34" t="s">
        <v>312</v>
      </c>
      <c r="D164" s="33">
        <v>106.738063</v>
      </c>
      <c r="E164" s="46">
        <v>13.773289868372643</v>
      </c>
      <c r="F164" s="33">
        <v>12.903822199183661</v>
      </c>
      <c r="G164" s="33">
        <v>120.51135286837264</v>
      </c>
    </row>
    <row r="165" spans="1:7" x14ac:dyDescent="0.25">
      <c r="A165" s="32">
        <v>2</v>
      </c>
      <c r="B165" s="31" t="s">
        <v>313</v>
      </c>
      <c r="C165" s="30" t="s">
        <v>314</v>
      </c>
      <c r="D165" s="29">
        <v>0.95592628120000001</v>
      </c>
      <c r="E165" s="45">
        <v>9.0072651213468857E-2</v>
      </c>
      <c r="F165" s="29">
        <v>9.4225520298906567</v>
      </c>
      <c r="G165" s="29">
        <v>1.0459989324134689</v>
      </c>
    </row>
    <row r="166" spans="1:7" x14ac:dyDescent="0.25">
      <c r="A166" s="28">
        <v>3</v>
      </c>
      <c r="B166" s="27" t="s">
        <v>315</v>
      </c>
      <c r="C166" s="26" t="s">
        <v>314</v>
      </c>
      <c r="D166" s="25">
        <v>0.95592628120000001</v>
      </c>
      <c r="E166" s="48">
        <v>9.0072651213468857E-2</v>
      </c>
      <c r="F166" s="25">
        <v>9.4225520298906567</v>
      </c>
      <c r="G166" s="25">
        <v>1.0459989324134689</v>
      </c>
    </row>
    <row r="167" spans="1:7" x14ac:dyDescent="0.25">
      <c r="A167" s="40">
        <v>1</v>
      </c>
      <c r="B167" s="39" t="s">
        <v>316</v>
      </c>
      <c r="C167" s="38" t="s">
        <v>317</v>
      </c>
      <c r="D167" s="37">
        <v>401.72567980000002</v>
      </c>
      <c r="E167" s="37">
        <v>10.428092777178563</v>
      </c>
      <c r="F167" s="37">
        <v>2.5958242904387419</v>
      </c>
      <c r="G167" s="37">
        <v>412.15377257717859</v>
      </c>
    </row>
    <row r="168" spans="1:7" x14ac:dyDescent="0.25">
      <c r="A168" s="32">
        <v>2</v>
      </c>
      <c r="B168" s="31" t="s">
        <v>318</v>
      </c>
      <c r="C168" s="30" t="s">
        <v>319</v>
      </c>
      <c r="D168" s="29">
        <v>97.607602771000003</v>
      </c>
      <c r="E168" s="29">
        <v>1.1427224783081584</v>
      </c>
      <c r="F168" s="29">
        <v>1.1707310146619752</v>
      </c>
      <c r="G168" s="29">
        <v>98.750325249308162</v>
      </c>
    </row>
    <row r="169" spans="1:7" x14ac:dyDescent="0.25">
      <c r="A169" s="36">
        <v>3</v>
      </c>
      <c r="B169" s="35" t="s">
        <v>320</v>
      </c>
      <c r="C169" s="34" t="s">
        <v>321</v>
      </c>
      <c r="D169" s="33">
        <v>0.3631023189</v>
      </c>
      <c r="E169" s="33">
        <v>0</v>
      </c>
      <c r="F169" s="33">
        <v>0</v>
      </c>
      <c r="G169" s="33">
        <v>0.3631023189</v>
      </c>
    </row>
    <row r="170" spans="1:7" x14ac:dyDescent="0.25">
      <c r="A170" s="36">
        <v>3</v>
      </c>
      <c r="B170" s="35" t="s">
        <v>322</v>
      </c>
      <c r="C170" s="34" t="s">
        <v>323</v>
      </c>
      <c r="D170" s="33">
        <v>20.679710024999999</v>
      </c>
      <c r="E170" s="33">
        <v>0.6161132315299831</v>
      </c>
      <c r="F170" s="33">
        <v>2.9793127214315622</v>
      </c>
      <c r="G170" s="33">
        <v>21.295823256529982</v>
      </c>
    </row>
    <row r="171" spans="1:7" x14ac:dyDescent="0.25">
      <c r="A171" s="36">
        <v>3</v>
      </c>
      <c r="B171" s="35" t="s">
        <v>324</v>
      </c>
      <c r="C171" s="34" t="s">
        <v>325</v>
      </c>
      <c r="D171" s="33">
        <v>33.263387438999999</v>
      </c>
      <c r="E171" s="33">
        <v>0.76904333179084716</v>
      </c>
      <c r="F171" s="33">
        <v>2.311981403581207</v>
      </c>
      <c r="G171" s="33">
        <v>34.032430770790846</v>
      </c>
    </row>
    <row r="172" spans="1:7" x14ac:dyDescent="0.25">
      <c r="A172" s="36">
        <v>3</v>
      </c>
      <c r="B172" s="35" t="s">
        <v>326</v>
      </c>
      <c r="C172" s="34" t="s">
        <v>327</v>
      </c>
      <c r="D172" s="33">
        <v>43.465111331999999</v>
      </c>
      <c r="E172" s="33">
        <v>-0.24243408501268959</v>
      </c>
      <c r="F172" s="33">
        <v>-0.55776708625201232</v>
      </c>
      <c r="G172" s="33">
        <v>43.22267724698731</v>
      </c>
    </row>
    <row r="173" spans="1:7" x14ac:dyDescent="0.25">
      <c r="A173" s="32">
        <v>2</v>
      </c>
      <c r="B173" s="31" t="s">
        <v>328</v>
      </c>
      <c r="C173" s="30" t="s">
        <v>329</v>
      </c>
      <c r="D173" s="29">
        <v>119.42275720000001</v>
      </c>
      <c r="E173" s="29">
        <v>5.5579036517201246</v>
      </c>
      <c r="F173" s="29">
        <v>4.6539736496053061</v>
      </c>
      <c r="G173" s="29">
        <v>124.98066085172013</v>
      </c>
    </row>
    <row r="174" spans="1:7" x14ac:dyDescent="0.25">
      <c r="A174" s="36">
        <v>3</v>
      </c>
      <c r="B174" s="35" t="s">
        <v>330</v>
      </c>
      <c r="C174" s="34" t="s">
        <v>331</v>
      </c>
      <c r="D174" s="33">
        <v>1.7967116217000001</v>
      </c>
      <c r="E174" s="33">
        <v>8.4924177849906801E-2</v>
      </c>
      <c r="F174" s="33">
        <v>4.7266448785784458</v>
      </c>
      <c r="G174" s="33">
        <v>1.8816357995499069</v>
      </c>
    </row>
    <row r="175" spans="1:7" x14ac:dyDescent="0.25">
      <c r="A175" s="36">
        <v>3</v>
      </c>
      <c r="B175" s="35" t="s">
        <v>332</v>
      </c>
      <c r="C175" s="34" t="s">
        <v>333</v>
      </c>
      <c r="D175" s="33">
        <v>31.534888202000001</v>
      </c>
      <c r="E175" s="33">
        <v>2.8526949440047566</v>
      </c>
      <c r="F175" s="33">
        <v>9.0461552479004297</v>
      </c>
      <c r="G175" s="33">
        <v>34.387583146004758</v>
      </c>
    </row>
    <row r="176" spans="1:7" x14ac:dyDescent="0.25">
      <c r="A176" s="36">
        <v>3</v>
      </c>
      <c r="B176" s="35" t="s">
        <v>334</v>
      </c>
      <c r="C176" s="34" t="s">
        <v>335</v>
      </c>
      <c r="D176" s="33">
        <v>84.213769769999999</v>
      </c>
      <c r="E176" s="33">
        <v>2.620284529865458</v>
      </c>
      <c r="F176" s="33">
        <v>3.1114680378539457</v>
      </c>
      <c r="G176" s="33">
        <v>86.834054299865457</v>
      </c>
    </row>
    <row r="177" spans="1:7" x14ac:dyDescent="0.25">
      <c r="A177" s="32">
        <v>2</v>
      </c>
      <c r="B177" s="31" t="s">
        <v>336</v>
      </c>
      <c r="C177" s="30" t="s">
        <v>337</v>
      </c>
      <c r="D177" s="29">
        <v>25.651249816</v>
      </c>
      <c r="E177" s="29">
        <v>0.35527080321046256</v>
      </c>
      <c r="F177" s="29">
        <v>1.3850038721655658</v>
      </c>
      <c r="G177" s="29">
        <v>26.006520619210463</v>
      </c>
    </row>
    <row r="178" spans="1:7" x14ac:dyDescent="0.25">
      <c r="A178" s="36">
        <v>3</v>
      </c>
      <c r="B178" s="35" t="s">
        <v>338</v>
      </c>
      <c r="C178" s="34" t="s">
        <v>337</v>
      </c>
      <c r="D178" s="33">
        <v>25.651249816</v>
      </c>
      <c r="E178" s="33">
        <v>0.35527080321046256</v>
      </c>
      <c r="F178" s="33">
        <v>1.3850038721655658</v>
      </c>
      <c r="G178" s="33">
        <v>26.006520619210463</v>
      </c>
    </row>
    <row r="179" spans="1:7" x14ac:dyDescent="0.25">
      <c r="A179" s="32">
        <v>2</v>
      </c>
      <c r="B179" s="31" t="s">
        <v>339</v>
      </c>
      <c r="C179" s="30" t="s">
        <v>340</v>
      </c>
      <c r="D179" s="29">
        <v>72.345969601999997</v>
      </c>
      <c r="E179" s="29">
        <v>0.99305734958103642</v>
      </c>
      <c r="F179" s="29">
        <v>1.372650549912021</v>
      </c>
      <c r="G179" s="29">
        <v>73.339026951581033</v>
      </c>
    </row>
    <row r="180" spans="1:7" x14ac:dyDescent="0.25">
      <c r="A180" s="36">
        <v>3</v>
      </c>
      <c r="B180" s="35" t="s">
        <v>341</v>
      </c>
      <c r="C180" s="34" t="s">
        <v>340</v>
      </c>
      <c r="D180" s="33">
        <v>72.345969601999997</v>
      </c>
      <c r="E180" s="33">
        <v>0.99305734958103642</v>
      </c>
      <c r="F180" s="33">
        <v>1.372650549912021</v>
      </c>
      <c r="G180" s="33">
        <v>73.339026951581033</v>
      </c>
    </row>
    <row r="181" spans="1:7" x14ac:dyDescent="0.25">
      <c r="A181" s="32">
        <v>2</v>
      </c>
      <c r="B181" s="31" t="s">
        <v>342</v>
      </c>
      <c r="C181" s="30" t="s">
        <v>343</v>
      </c>
      <c r="D181" s="29">
        <v>83.600780619000005</v>
      </c>
      <c r="E181" s="29">
        <v>2.3263281345263351</v>
      </c>
      <c r="F181" s="29">
        <v>2.782663172881461</v>
      </c>
      <c r="G181" s="29">
        <v>85.92710875352634</v>
      </c>
    </row>
    <row r="182" spans="1:7" x14ac:dyDescent="0.25">
      <c r="A182" s="36">
        <v>3</v>
      </c>
      <c r="B182" s="35" t="s">
        <v>344</v>
      </c>
      <c r="C182" s="34" t="s">
        <v>345</v>
      </c>
      <c r="D182" s="33">
        <v>4.9823345837000002</v>
      </c>
      <c r="E182" s="33">
        <v>-4.4477998993136758E-2</v>
      </c>
      <c r="F182" s="33">
        <v>-0.89271401279731666</v>
      </c>
      <c r="G182" s="33">
        <v>4.9378565847068634</v>
      </c>
    </row>
    <row r="183" spans="1:7" x14ac:dyDescent="0.25">
      <c r="A183" s="36">
        <v>3</v>
      </c>
      <c r="B183" s="35" t="s">
        <v>346</v>
      </c>
      <c r="C183" s="34" t="s">
        <v>347</v>
      </c>
      <c r="D183" s="33">
        <v>15.499917169</v>
      </c>
      <c r="E183" s="33">
        <v>0.4005074837896867</v>
      </c>
      <c r="F183" s="33">
        <v>2.5839330586276033</v>
      </c>
      <c r="G183" s="33">
        <v>15.900424652789686</v>
      </c>
    </row>
    <row r="184" spans="1:7" x14ac:dyDescent="0.25">
      <c r="A184" s="36">
        <v>3</v>
      </c>
      <c r="B184" s="35" t="s">
        <v>348</v>
      </c>
      <c r="C184" s="34" t="s">
        <v>349</v>
      </c>
      <c r="D184" s="33">
        <v>25.441784462000001</v>
      </c>
      <c r="E184" s="33">
        <v>0.70391126845272822</v>
      </c>
      <c r="F184" s="33">
        <v>2.7667527389994762</v>
      </c>
      <c r="G184" s="33">
        <v>26.145695730452729</v>
      </c>
    </row>
    <row r="185" spans="1:7" x14ac:dyDescent="0.25">
      <c r="A185" s="36">
        <v>3</v>
      </c>
      <c r="B185" s="35" t="s">
        <v>350</v>
      </c>
      <c r="C185" s="34" t="s">
        <v>351</v>
      </c>
      <c r="D185" s="33">
        <v>38.088221144999999</v>
      </c>
      <c r="E185" s="33">
        <v>1.2663873812770632</v>
      </c>
      <c r="F185" s="33">
        <v>3.324879301808263</v>
      </c>
      <c r="G185" s="33">
        <v>39.354608526277062</v>
      </c>
    </row>
    <row r="186" spans="1:7" x14ac:dyDescent="0.25">
      <c r="A186" s="32">
        <v>2</v>
      </c>
      <c r="B186" s="31" t="s">
        <v>352</v>
      </c>
      <c r="C186" s="30" t="s">
        <v>353</v>
      </c>
      <c r="D186" s="29">
        <v>5.9582741122999998</v>
      </c>
      <c r="E186" s="29">
        <v>5.2810359832366593E-2</v>
      </c>
      <c r="F186" s="29">
        <v>0.88633652693734244</v>
      </c>
      <c r="G186" s="29">
        <v>6.0110844721323664</v>
      </c>
    </row>
    <row r="187" spans="1:7" x14ac:dyDescent="0.25">
      <c r="A187" s="36">
        <v>3</v>
      </c>
      <c r="B187" s="35" t="s">
        <v>354</v>
      </c>
      <c r="C187" s="34" t="s">
        <v>353</v>
      </c>
      <c r="D187" s="33">
        <v>5.9582741122999998</v>
      </c>
      <c r="E187" s="33">
        <v>5.2810359832366593E-2</v>
      </c>
      <c r="F187" s="33">
        <v>0.88633652693734244</v>
      </c>
      <c r="G187" s="33">
        <v>6.0110844721323664</v>
      </c>
    </row>
    <row r="188" spans="1:7" x14ac:dyDescent="0.25">
      <c r="A188" s="32">
        <v>2</v>
      </c>
      <c r="B188" s="31" t="s">
        <v>355</v>
      </c>
      <c r="C188" s="30" t="s">
        <v>356</v>
      </c>
      <c r="D188" s="29">
        <v>1.3033878393</v>
      </c>
      <c r="E188" s="29">
        <v>0</v>
      </c>
      <c r="F188" s="29">
        <v>0</v>
      </c>
      <c r="G188" s="29">
        <v>1.3033878393</v>
      </c>
    </row>
    <row r="189" spans="1:7" x14ac:dyDescent="0.25">
      <c r="A189" s="28">
        <v>3</v>
      </c>
      <c r="B189" s="27" t="s">
        <v>357</v>
      </c>
      <c r="C189" s="26" t="s">
        <v>356</v>
      </c>
      <c r="D189" s="25">
        <v>1.3033878393</v>
      </c>
      <c r="E189" s="48">
        <v>0</v>
      </c>
      <c r="F189" s="25">
        <v>0</v>
      </c>
      <c r="G189" s="25">
        <v>1.3033878392999998</v>
      </c>
    </row>
    <row r="190" spans="1:7" x14ac:dyDescent="0.25">
      <c r="A190" s="40">
        <v>1</v>
      </c>
      <c r="B190" s="39" t="s">
        <v>358</v>
      </c>
      <c r="C190" s="38" t="s">
        <v>359</v>
      </c>
      <c r="D190" s="37">
        <v>1297.8696571999999</v>
      </c>
      <c r="E190" s="37">
        <v>62.32961557705903</v>
      </c>
      <c r="F190" s="37">
        <v>4.8024557189762636</v>
      </c>
      <c r="G190" s="37">
        <v>1360.1992727770589</v>
      </c>
    </row>
    <row r="191" spans="1:7" x14ac:dyDescent="0.25">
      <c r="A191" s="32">
        <v>2</v>
      </c>
      <c r="B191" s="31" t="s">
        <v>360</v>
      </c>
      <c r="C191" s="30" t="s">
        <v>361</v>
      </c>
      <c r="D191" s="29">
        <v>105.90905216</v>
      </c>
      <c r="E191" s="29">
        <v>5.5101932263097808</v>
      </c>
      <c r="F191" s="29">
        <v>5.2027594562789261</v>
      </c>
      <c r="G191" s="29">
        <v>111.41924538630978</v>
      </c>
    </row>
    <row r="192" spans="1:7" x14ac:dyDescent="0.25">
      <c r="A192" s="36">
        <v>3</v>
      </c>
      <c r="B192" s="35" t="s">
        <v>362</v>
      </c>
      <c r="C192" s="34" t="s">
        <v>363</v>
      </c>
      <c r="D192" s="33">
        <v>0.41482659820000001</v>
      </c>
      <c r="E192" s="33">
        <v>3.2989004320457038E-2</v>
      </c>
      <c r="F192" s="33">
        <v>7.9524804975384136</v>
      </c>
      <c r="G192" s="33">
        <v>0.44781560252045705</v>
      </c>
    </row>
    <row r="193" spans="1:7" x14ac:dyDescent="0.25">
      <c r="A193" s="36">
        <v>3</v>
      </c>
      <c r="B193" s="35" t="s">
        <v>364</v>
      </c>
      <c r="C193" s="34" t="s">
        <v>365</v>
      </c>
      <c r="D193" s="33">
        <v>77.033292809000002</v>
      </c>
      <c r="E193" s="33">
        <v>4.6080821598928594</v>
      </c>
      <c r="F193" s="33">
        <v>5.9819358511888581</v>
      </c>
      <c r="G193" s="33">
        <v>81.641374968892862</v>
      </c>
    </row>
    <row r="194" spans="1:7" x14ac:dyDescent="0.25">
      <c r="A194" s="36">
        <v>3</v>
      </c>
      <c r="B194" s="35" t="s">
        <v>366</v>
      </c>
      <c r="C194" s="34" t="s">
        <v>367</v>
      </c>
      <c r="D194" s="33">
        <v>29.906161284</v>
      </c>
      <c r="E194" s="33">
        <v>0.86912206209645504</v>
      </c>
      <c r="F194" s="33">
        <v>2.9061638966062864</v>
      </c>
      <c r="G194" s="33">
        <v>30.775283346096455</v>
      </c>
    </row>
    <row r="195" spans="1:7" x14ac:dyDescent="0.25">
      <c r="A195" s="32">
        <v>2</v>
      </c>
      <c r="B195" s="31" t="s">
        <v>368</v>
      </c>
      <c r="C195" s="30" t="s">
        <v>369</v>
      </c>
      <c r="D195" s="29">
        <v>41.813404706</v>
      </c>
      <c r="E195" s="29">
        <v>0.19797372583720119</v>
      </c>
      <c r="F195" s="29">
        <v>0.47346951827817313</v>
      </c>
      <c r="G195" s="29">
        <v>42.011378431837201</v>
      </c>
    </row>
    <row r="196" spans="1:7" x14ac:dyDescent="0.25">
      <c r="A196" s="36">
        <v>3</v>
      </c>
      <c r="B196" s="35" t="s">
        <v>370</v>
      </c>
      <c r="C196" s="34" t="s">
        <v>369</v>
      </c>
      <c r="D196" s="33">
        <v>41.813404706</v>
      </c>
      <c r="E196" s="33">
        <v>0.19797372583720119</v>
      </c>
      <c r="F196" s="33">
        <v>0.47346951827817313</v>
      </c>
      <c r="G196" s="33">
        <v>42.011378431837201</v>
      </c>
    </row>
    <row r="197" spans="1:7" x14ac:dyDescent="0.25">
      <c r="A197" s="32">
        <v>2</v>
      </c>
      <c r="B197" s="31" t="s">
        <v>371</v>
      </c>
      <c r="C197" s="30" t="s">
        <v>372</v>
      </c>
      <c r="D197" s="29">
        <v>409.34411961000001</v>
      </c>
      <c r="E197" s="29">
        <v>16.745209245091758</v>
      </c>
      <c r="F197" s="29">
        <v>4.0907413696441148</v>
      </c>
      <c r="G197" s="29">
        <v>426.08932885509176</v>
      </c>
    </row>
    <row r="198" spans="1:7" x14ac:dyDescent="0.25">
      <c r="A198" s="36">
        <v>3</v>
      </c>
      <c r="B198" s="35" t="s">
        <v>373</v>
      </c>
      <c r="C198" s="34" t="s">
        <v>374</v>
      </c>
      <c r="D198" s="33">
        <v>3.0224435042</v>
      </c>
      <c r="E198" s="33">
        <v>-2.2077590206787345E-2</v>
      </c>
      <c r="F198" s="33">
        <v>-0.73045501681365543</v>
      </c>
      <c r="G198" s="33">
        <v>3.0003659139932126</v>
      </c>
    </row>
    <row r="199" spans="1:7" x14ac:dyDescent="0.25">
      <c r="A199" s="36">
        <v>3</v>
      </c>
      <c r="B199" s="35" t="s">
        <v>375</v>
      </c>
      <c r="C199" s="34" t="s">
        <v>376</v>
      </c>
      <c r="D199" s="33">
        <v>306.33232147000001</v>
      </c>
      <c r="E199" s="33">
        <v>13.684081570307626</v>
      </c>
      <c r="F199" s="33">
        <v>4.4670707630986133</v>
      </c>
      <c r="G199" s="33">
        <v>320.01640304030764</v>
      </c>
    </row>
    <row r="200" spans="1:7" x14ac:dyDescent="0.25">
      <c r="A200" s="36">
        <v>3</v>
      </c>
      <c r="B200" s="35" t="s">
        <v>377</v>
      </c>
      <c r="C200" s="34" t="s">
        <v>378</v>
      </c>
      <c r="D200" s="33">
        <v>100.59502718</v>
      </c>
      <c r="E200" s="33">
        <v>3.0832052649908803</v>
      </c>
      <c r="F200" s="33">
        <v>3.0649678730877405</v>
      </c>
      <c r="G200" s="33">
        <v>103.67823244499088</v>
      </c>
    </row>
    <row r="201" spans="1:7" x14ac:dyDescent="0.25">
      <c r="A201" s="32">
        <v>2</v>
      </c>
      <c r="B201" s="31" t="s">
        <v>379</v>
      </c>
      <c r="C201" s="30" t="s">
        <v>380</v>
      </c>
      <c r="D201" s="29">
        <v>706.98526937999998</v>
      </c>
      <c r="E201" s="29">
        <v>37.799520364898626</v>
      </c>
      <c r="F201" s="29">
        <v>5.3465782106107262</v>
      </c>
      <c r="G201" s="29">
        <v>744.7847897448986</v>
      </c>
    </row>
    <row r="202" spans="1:7" x14ac:dyDescent="0.25">
      <c r="A202" s="36">
        <v>3</v>
      </c>
      <c r="B202" s="35" t="s">
        <v>381</v>
      </c>
      <c r="C202" s="34" t="s">
        <v>382</v>
      </c>
      <c r="D202" s="33">
        <v>9.8800851937999994</v>
      </c>
      <c r="E202" s="33">
        <v>0.42820078674233741</v>
      </c>
      <c r="F202" s="33">
        <v>4.3339786888785543</v>
      </c>
      <c r="G202" s="33">
        <v>10.308285980542337</v>
      </c>
    </row>
    <row r="203" spans="1:7" x14ac:dyDescent="0.25">
      <c r="A203" s="36">
        <v>3</v>
      </c>
      <c r="B203" s="35" t="s">
        <v>383</v>
      </c>
      <c r="C203" s="34" t="s">
        <v>384</v>
      </c>
      <c r="D203" s="33">
        <v>62.498707244999999</v>
      </c>
      <c r="E203" s="33">
        <v>0.27876220226311688</v>
      </c>
      <c r="F203" s="33">
        <v>0.44602874931532016</v>
      </c>
      <c r="G203" s="33">
        <v>62.777469447263115</v>
      </c>
    </row>
    <row r="204" spans="1:7" x14ac:dyDescent="0.25">
      <c r="A204" s="36">
        <v>3</v>
      </c>
      <c r="B204" s="35" t="s">
        <v>385</v>
      </c>
      <c r="C204" s="34" t="s">
        <v>386</v>
      </c>
      <c r="D204" s="33">
        <v>54.643529933000003</v>
      </c>
      <c r="E204" s="33">
        <v>-9.5646489922181388E-2</v>
      </c>
      <c r="F204" s="33">
        <v>-0.17503717281708608</v>
      </c>
      <c r="G204" s="33">
        <v>54.547883443077822</v>
      </c>
    </row>
    <row r="205" spans="1:7" x14ac:dyDescent="0.25">
      <c r="A205" s="36">
        <v>3</v>
      </c>
      <c r="B205" s="35" t="s">
        <v>387</v>
      </c>
      <c r="C205" s="34" t="s">
        <v>388</v>
      </c>
      <c r="D205" s="33">
        <v>83.638743392999999</v>
      </c>
      <c r="E205" s="33">
        <v>6.2915017084632723</v>
      </c>
      <c r="F205" s="33">
        <v>7.522233660184126</v>
      </c>
      <c r="G205" s="33">
        <v>89.930245101463271</v>
      </c>
    </row>
    <row r="206" spans="1:7" x14ac:dyDescent="0.25">
      <c r="A206" s="36">
        <v>3</v>
      </c>
      <c r="B206" s="35" t="s">
        <v>389</v>
      </c>
      <c r="C206" s="34" t="s">
        <v>390</v>
      </c>
      <c r="D206" s="33">
        <v>63.233649823999997</v>
      </c>
      <c r="E206" s="33">
        <v>1.7439876658563378</v>
      </c>
      <c r="F206" s="33">
        <v>2.7580056990390842</v>
      </c>
      <c r="G206" s="33">
        <v>64.977637489856335</v>
      </c>
    </row>
    <row r="207" spans="1:7" x14ac:dyDescent="0.25">
      <c r="A207" s="36">
        <v>3</v>
      </c>
      <c r="B207" s="35" t="s">
        <v>391</v>
      </c>
      <c r="C207" s="34" t="s">
        <v>392</v>
      </c>
      <c r="D207" s="33">
        <v>165.63051358999999</v>
      </c>
      <c r="E207" s="33">
        <v>14.036151685584599</v>
      </c>
      <c r="F207" s="33">
        <v>8.4743755129139657</v>
      </c>
      <c r="G207" s="33">
        <v>179.66666527558459</v>
      </c>
    </row>
    <row r="208" spans="1:7" x14ac:dyDescent="0.25">
      <c r="A208" s="36">
        <v>3</v>
      </c>
      <c r="B208" s="35" t="s">
        <v>393</v>
      </c>
      <c r="C208" s="34" t="s">
        <v>394</v>
      </c>
      <c r="D208" s="33">
        <v>73.416908903000007</v>
      </c>
      <c r="E208" s="33">
        <v>-2.99695099722436</v>
      </c>
      <c r="F208" s="33">
        <v>-4.082099126761106</v>
      </c>
      <c r="G208" s="33">
        <v>70.419957905775647</v>
      </c>
    </row>
    <row r="209" spans="1:7" x14ac:dyDescent="0.25">
      <c r="A209" s="36">
        <v>3</v>
      </c>
      <c r="B209" s="35" t="s">
        <v>395</v>
      </c>
      <c r="C209" s="34" t="s">
        <v>396</v>
      </c>
      <c r="D209" s="33">
        <v>194.34446889</v>
      </c>
      <c r="E209" s="33">
        <v>18.113513803135532</v>
      </c>
      <c r="F209" s="33">
        <v>9.3203135168142488</v>
      </c>
      <c r="G209" s="33">
        <v>212.45798269313553</v>
      </c>
    </row>
    <row r="210" spans="1:7" x14ac:dyDescent="0.25">
      <c r="A210" s="32">
        <v>2</v>
      </c>
      <c r="B210" s="31" t="s">
        <v>397</v>
      </c>
      <c r="C210" s="30" t="s">
        <v>398</v>
      </c>
      <c r="D210" s="29">
        <v>25.449164618000001</v>
      </c>
      <c r="E210" s="29">
        <v>2.0683149810327883</v>
      </c>
      <c r="F210" s="29">
        <v>8.1272411573379699</v>
      </c>
      <c r="G210" s="29">
        <v>27.517479599032789</v>
      </c>
    </row>
    <row r="211" spans="1:7" x14ac:dyDescent="0.25">
      <c r="A211" s="44">
        <v>3</v>
      </c>
      <c r="B211" s="43" t="s">
        <v>399</v>
      </c>
      <c r="C211" s="42" t="s">
        <v>400</v>
      </c>
      <c r="D211" s="41">
        <v>0.2573012945</v>
      </c>
      <c r="E211" s="41">
        <v>2.0593863370453214E-2</v>
      </c>
      <c r="F211" s="41">
        <v>8.003793144714713</v>
      </c>
      <c r="G211" s="41">
        <v>0.27789515787045321</v>
      </c>
    </row>
    <row r="212" spans="1:7" x14ac:dyDescent="0.25">
      <c r="A212" s="36">
        <v>3</v>
      </c>
      <c r="B212" s="35" t="s">
        <v>401</v>
      </c>
      <c r="C212" s="34" t="s">
        <v>402</v>
      </c>
      <c r="D212" s="33">
        <v>24.174890388000001</v>
      </c>
      <c r="E212" s="33">
        <v>2.0393389747839521</v>
      </c>
      <c r="F212" s="33">
        <v>8.4357734080823175</v>
      </c>
      <c r="G212" s="33">
        <v>26.214229362783954</v>
      </c>
    </row>
    <row r="213" spans="1:7" x14ac:dyDescent="0.25">
      <c r="A213" s="36">
        <v>3</v>
      </c>
      <c r="B213" s="35" t="s">
        <v>403</v>
      </c>
      <c r="C213" s="34" t="s">
        <v>404</v>
      </c>
      <c r="D213" s="33">
        <v>0.6386926798</v>
      </c>
      <c r="E213" s="33">
        <v>8.3821428783782403E-3</v>
      </c>
      <c r="F213" s="33">
        <v>1.3123906290898812</v>
      </c>
      <c r="G213" s="33">
        <v>0.64707482267837824</v>
      </c>
    </row>
    <row r="214" spans="1:7" x14ac:dyDescent="0.25">
      <c r="A214" s="32">
        <v>2</v>
      </c>
      <c r="B214" s="31" t="s">
        <v>405</v>
      </c>
      <c r="C214" s="30" t="s">
        <v>406</v>
      </c>
      <c r="D214" s="29">
        <v>3.2219614904</v>
      </c>
      <c r="E214" s="29">
        <v>8.404033888772755E-3</v>
      </c>
      <c r="F214" s="29">
        <v>0.26083595082725247</v>
      </c>
      <c r="G214" s="29">
        <v>3.2303655242887728</v>
      </c>
    </row>
    <row r="215" spans="1:7" x14ac:dyDescent="0.25">
      <c r="A215" s="28">
        <v>3</v>
      </c>
      <c r="B215" s="27" t="s">
        <v>407</v>
      </c>
      <c r="C215" s="26" t="s">
        <v>406</v>
      </c>
      <c r="D215" s="25">
        <v>3.2219614904</v>
      </c>
      <c r="E215" s="25">
        <v>8.4040338887731991E-3</v>
      </c>
      <c r="F215" s="25">
        <v>0.26083595082726624</v>
      </c>
      <c r="G215" s="25">
        <v>3.2303655242887732</v>
      </c>
    </row>
    <row r="216" spans="1:7" x14ac:dyDescent="0.25">
      <c r="A216" s="40">
        <v>1</v>
      </c>
      <c r="B216" s="39" t="s">
        <v>408</v>
      </c>
      <c r="C216" s="38" t="s">
        <v>409</v>
      </c>
      <c r="D216" s="37">
        <v>917.92592520000005</v>
      </c>
      <c r="E216" s="37">
        <v>91.442737892796345</v>
      </c>
      <c r="F216" s="37">
        <v>9.9618863987170396</v>
      </c>
      <c r="G216" s="47">
        <v>1009.3686630927964</v>
      </c>
    </row>
    <row r="217" spans="1:7" x14ac:dyDescent="0.25">
      <c r="A217" s="32">
        <v>2</v>
      </c>
      <c r="B217" s="31" t="s">
        <v>410</v>
      </c>
      <c r="C217" s="30" t="s">
        <v>411</v>
      </c>
      <c r="D217" s="29">
        <v>110.74910087000001</v>
      </c>
      <c r="E217" s="29">
        <v>2.1479787732478854</v>
      </c>
      <c r="F217" s="29">
        <v>1.939499965574651</v>
      </c>
      <c r="G217" s="45">
        <v>112.89707964324789</v>
      </c>
    </row>
    <row r="218" spans="1:7" x14ac:dyDescent="0.25">
      <c r="A218" s="36">
        <v>3</v>
      </c>
      <c r="B218" s="35" t="s">
        <v>412</v>
      </c>
      <c r="C218" s="34" t="s">
        <v>411</v>
      </c>
      <c r="D218" s="33">
        <v>110.74910087000001</v>
      </c>
      <c r="E218" s="33">
        <v>2.1479787732478854</v>
      </c>
      <c r="F218" s="33">
        <v>1.939499965574651</v>
      </c>
      <c r="G218" s="46">
        <v>112.89707964324789</v>
      </c>
    </row>
    <row r="219" spans="1:7" x14ac:dyDescent="0.25">
      <c r="A219" s="32">
        <v>2</v>
      </c>
      <c r="B219" s="31" t="s">
        <v>413</v>
      </c>
      <c r="C219" s="30" t="s">
        <v>414</v>
      </c>
      <c r="D219" s="29">
        <v>799.73093998000002</v>
      </c>
      <c r="E219" s="29">
        <v>89.284708954064286</v>
      </c>
      <c r="F219" s="29">
        <v>11.164343467353802</v>
      </c>
      <c r="G219" s="45">
        <v>889.0156489340643</v>
      </c>
    </row>
    <row r="220" spans="1:7" x14ac:dyDescent="0.25">
      <c r="A220" s="36">
        <v>3</v>
      </c>
      <c r="B220" s="35" t="s">
        <v>415</v>
      </c>
      <c r="C220" s="34" t="s">
        <v>416</v>
      </c>
      <c r="D220" s="33">
        <v>10.786687937</v>
      </c>
      <c r="E220" s="33">
        <v>1.2328507034809757</v>
      </c>
      <c r="F220" s="33">
        <v>11.429372117571956</v>
      </c>
      <c r="G220" s="46">
        <v>12.019538640480976</v>
      </c>
    </row>
    <row r="221" spans="1:7" x14ac:dyDescent="0.25">
      <c r="A221" s="36">
        <v>3</v>
      </c>
      <c r="B221" s="35" t="s">
        <v>417</v>
      </c>
      <c r="C221" s="34" t="s">
        <v>418</v>
      </c>
      <c r="D221" s="33">
        <v>623.86701540000001</v>
      </c>
      <c r="E221" s="33">
        <v>77.421675310980731</v>
      </c>
      <c r="F221" s="33">
        <v>12.409964527671153</v>
      </c>
      <c r="G221" s="46">
        <v>701.28869071098075</v>
      </c>
    </row>
    <row r="222" spans="1:7" x14ac:dyDescent="0.25">
      <c r="A222" s="36">
        <v>3</v>
      </c>
      <c r="B222" s="35" t="s">
        <v>419</v>
      </c>
      <c r="C222" s="34" t="s">
        <v>420</v>
      </c>
      <c r="D222" s="33">
        <v>108.82182134</v>
      </c>
      <c r="E222" s="33">
        <v>12.219107181263311</v>
      </c>
      <c r="F222" s="33">
        <v>11.22854500209683</v>
      </c>
      <c r="G222" s="46">
        <v>121.04092852126331</v>
      </c>
    </row>
    <row r="223" spans="1:7" x14ac:dyDescent="0.25">
      <c r="A223" s="36">
        <v>3</v>
      </c>
      <c r="B223" s="35" t="s">
        <v>421</v>
      </c>
      <c r="C223" s="34" t="s">
        <v>422</v>
      </c>
      <c r="D223" s="33">
        <v>64.694242862999999</v>
      </c>
      <c r="E223" s="33">
        <v>-1.5889242416607914</v>
      </c>
      <c r="F223" s="33">
        <v>-2.4560519937231238</v>
      </c>
      <c r="G223" s="46">
        <v>63.105318621339208</v>
      </c>
    </row>
    <row r="224" spans="1:7" x14ac:dyDescent="0.25">
      <c r="A224" s="32">
        <v>2</v>
      </c>
      <c r="B224" s="31" t="s">
        <v>423</v>
      </c>
      <c r="C224" s="30" t="s">
        <v>424</v>
      </c>
      <c r="D224" s="29">
        <v>0.1</v>
      </c>
      <c r="E224" s="29">
        <v>1.0050165484122645E-2</v>
      </c>
      <c r="F224" s="29">
        <v>10.050165484122644</v>
      </c>
      <c r="G224" s="45">
        <v>0.11005016548412265</v>
      </c>
    </row>
    <row r="225" spans="1:7" x14ac:dyDescent="0.25">
      <c r="A225" s="28">
        <v>3</v>
      </c>
      <c r="B225" s="27" t="s">
        <v>425</v>
      </c>
      <c r="C225" s="26" t="s">
        <v>424</v>
      </c>
      <c r="D225" s="25">
        <v>0.1</v>
      </c>
      <c r="E225" s="25">
        <v>1.0050165484122645E-2</v>
      </c>
      <c r="F225" s="25">
        <v>10.050165484122644</v>
      </c>
      <c r="G225" s="25">
        <v>0.11005016548412265</v>
      </c>
    </row>
    <row r="226" spans="1:7" x14ac:dyDescent="0.25">
      <c r="A226" s="40">
        <v>1</v>
      </c>
      <c r="B226" s="39" t="s">
        <v>426</v>
      </c>
      <c r="C226" s="38" t="s">
        <v>427</v>
      </c>
      <c r="D226" s="37">
        <v>659.40324580000004</v>
      </c>
      <c r="E226" s="37">
        <v>43.738697768057023</v>
      </c>
      <c r="F226" s="37">
        <v>6.6330728649951416</v>
      </c>
      <c r="G226" s="37">
        <v>703.14194356805706</v>
      </c>
    </row>
    <row r="227" spans="1:7" x14ac:dyDescent="0.25">
      <c r="A227" s="32">
        <v>2</v>
      </c>
      <c r="B227" s="31" t="s">
        <v>428</v>
      </c>
      <c r="C227" s="30" t="s">
        <v>429</v>
      </c>
      <c r="D227" s="29">
        <v>287.69026932999998</v>
      </c>
      <c r="E227" s="29">
        <v>23.598670347646532</v>
      </c>
      <c r="F227" s="29">
        <v>8.2028044961705948</v>
      </c>
      <c r="G227" s="29">
        <v>311.28893967764651</v>
      </c>
    </row>
    <row r="228" spans="1:7" x14ac:dyDescent="0.25">
      <c r="A228" s="36">
        <v>3</v>
      </c>
      <c r="B228" s="35" t="s">
        <v>430</v>
      </c>
      <c r="C228" s="34" t="s">
        <v>431</v>
      </c>
      <c r="D228" s="33">
        <v>3.6870266145000001</v>
      </c>
      <c r="E228" s="33">
        <v>0.30169991016084685</v>
      </c>
      <c r="F228" s="33">
        <v>8.1827429445274174</v>
      </c>
      <c r="G228" s="33">
        <v>3.988726524660847</v>
      </c>
    </row>
    <row r="229" spans="1:7" x14ac:dyDescent="0.25">
      <c r="A229" s="36">
        <v>3</v>
      </c>
      <c r="B229" s="35" t="s">
        <v>432</v>
      </c>
      <c r="C229" s="34" t="s">
        <v>433</v>
      </c>
      <c r="D229" s="33">
        <v>198.41096802000001</v>
      </c>
      <c r="E229" s="33">
        <v>17.502883352373885</v>
      </c>
      <c r="F229" s="33">
        <v>8.8215301437416382</v>
      </c>
      <c r="G229" s="33">
        <v>215.9138513723739</v>
      </c>
    </row>
    <row r="230" spans="1:7" x14ac:dyDescent="0.25">
      <c r="A230" s="36">
        <v>3</v>
      </c>
      <c r="B230" s="35" t="s">
        <v>434</v>
      </c>
      <c r="C230" s="34" t="s">
        <v>435</v>
      </c>
      <c r="D230" s="33">
        <v>87.586071963999999</v>
      </c>
      <c r="E230" s="33">
        <v>5.7940870851117268</v>
      </c>
      <c r="F230" s="33">
        <v>6.6153064696099593</v>
      </c>
      <c r="G230" s="33">
        <v>93.380159049111725</v>
      </c>
    </row>
    <row r="231" spans="1:7" x14ac:dyDescent="0.25">
      <c r="A231" s="32">
        <v>2</v>
      </c>
      <c r="B231" s="31" t="s">
        <v>436</v>
      </c>
      <c r="C231" s="30" t="s">
        <v>437</v>
      </c>
      <c r="D231" s="29">
        <v>47.388897024000002</v>
      </c>
      <c r="E231" s="29">
        <v>2.0265703911437001</v>
      </c>
      <c r="F231" s="29">
        <v>4.2764666797738462</v>
      </c>
      <c r="G231" s="29">
        <v>49.415467415143702</v>
      </c>
    </row>
    <row r="232" spans="1:7" x14ac:dyDescent="0.25">
      <c r="A232" s="36">
        <v>3</v>
      </c>
      <c r="B232" s="35" t="s">
        <v>438</v>
      </c>
      <c r="C232" s="34" t="s">
        <v>439</v>
      </c>
      <c r="D232" s="33">
        <v>25.339881913999999</v>
      </c>
      <c r="E232" s="33">
        <v>1.0801890935275544</v>
      </c>
      <c r="F232" s="33">
        <v>4.2628023966077055</v>
      </c>
      <c r="G232" s="33">
        <v>26.420071007527554</v>
      </c>
    </row>
    <row r="233" spans="1:7" x14ac:dyDescent="0.25">
      <c r="A233" s="36">
        <v>3</v>
      </c>
      <c r="B233" s="35" t="s">
        <v>440</v>
      </c>
      <c r="C233" s="34" t="s">
        <v>441</v>
      </c>
      <c r="D233" s="33">
        <v>7.2591751755000002</v>
      </c>
      <c r="E233" s="33">
        <v>-9.7861495628819739E-2</v>
      </c>
      <c r="F233" s="33">
        <v>-1.3481076467076605</v>
      </c>
      <c r="G233" s="33">
        <v>7.1613136798711805</v>
      </c>
    </row>
    <row r="234" spans="1:7" x14ac:dyDescent="0.25">
      <c r="A234" s="36">
        <v>3</v>
      </c>
      <c r="B234" s="35" t="s">
        <v>442</v>
      </c>
      <c r="C234" s="34" t="s">
        <v>443</v>
      </c>
      <c r="D234" s="33">
        <v>13.884719852</v>
      </c>
      <c r="E234" s="33">
        <v>1.0442427932449636</v>
      </c>
      <c r="F234" s="33">
        <v>7.520805636525302</v>
      </c>
      <c r="G234" s="33">
        <v>14.928962645244964</v>
      </c>
    </row>
    <row r="235" spans="1:7" x14ac:dyDescent="0.25">
      <c r="A235" s="32">
        <v>2</v>
      </c>
      <c r="B235" s="31" t="s">
        <v>444</v>
      </c>
      <c r="C235" s="30" t="s">
        <v>445</v>
      </c>
      <c r="D235" s="29">
        <v>6.9495101590999999</v>
      </c>
      <c r="E235" s="29">
        <v>0.18667222774134107</v>
      </c>
      <c r="F235" s="29">
        <v>2.6861206540852969</v>
      </c>
      <c r="G235" s="29">
        <v>7.136182386841341</v>
      </c>
    </row>
    <row r="236" spans="1:7" x14ac:dyDescent="0.25">
      <c r="A236" s="36">
        <v>3</v>
      </c>
      <c r="B236" s="35" t="s">
        <v>446</v>
      </c>
      <c r="C236" s="34" t="s">
        <v>447</v>
      </c>
      <c r="D236" s="33">
        <v>1.3493709621000001</v>
      </c>
      <c r="E236" s="33">
        <v>3.4134040458698722E-2</v>
      </c>
      <c r="F236" s="33">
        <v>2.5296261307992411</v>
      </c>
      <c r="G236" s="33">
        <v>1.3835050025586988</v>
      </c>
    </row>
    <row r="237" spans="1:7" x14ac:dyDescent="0.25">
      <c r="A237" s="36">
        <v>3</v>
      </c>
      <c r="B237" s="35" t="s">
        <v>448</v>
      </c>
      <c r="C237" s="34" t="s">
        <v>449</v>
      </c>
      <c r="D237" s="33">
        <v>2.6840371375999998</v>
      </c>
      <c r="E237" s="33">
        <v>8.3133028109666718E-2</v>
      </c>
      <c r="F237" s="33">
        <v>3.0973128853202914</v>
      </c>
      <c r="G237" s="33">
        <v>2.7671701657096666</v>
      </c>
    </row>
    <row r="238" spans="1:7" x14ac:dyDescent="0.25">
      <c r="A238" s="36">
        <v>3</v>
      </c>
      <c r="B238" s="35" t="s">
        <v>450</v>
      </c>
      <c r="C238" s="34" t="s">
        <v>451</v>
      </c>
      <c r="D238" s="33">
        <v>2.3667379171</v>
      </c>
      <c r="E238" s="33">
        <v>6.940515917297585E-2</v>
      </c>
      <c r="F238" s="33">
        <v>2.9325240733887021</v>
      </c>
      <c r="G238" s="33">
        <v>2.4361430762729759</v>
      </c>
    </row>
    <row r="239" spans="1:7" x14ac:dyDescent="0.25">
      <c r="A239" s="32">
        <v>2</v>
      </c>
      <c r="B239" s="31" t="s">
        <v>452</v>
      </c>
      <c r="C239" s="30" t="s">
        <v>453</v>
      </c>
      <c r="D239" s="29">
        <v>53.905275475000003</v>
      </c>
      <c r="E239" s="29">
        <v>-0.49086480179325065</v>
      </c>
      <c r="F239" s="29">
        <v>-0.91060623931121953</v>
      </c>
      <c r="G239" s="29">
        <v>53.414410673206753</v>
      </c>
    </row>
    <row r="240" spans="1:7" x14ac:dyDescent="0.25">
      <c r="A240" s="36">
        <v>3</v>
      </c>
      <c r="B240" s="35" t="s">
        <v>454</v>
      </c>
      <c r="C240" s="34" t="s">
        <v>453</v>
      </c>
      <c r="D240" s="33">
        <v>53.905275475000003</v>
      </c>
      <c r="E240" s="33">
        <v>-0.49086480179325065</v>
      </c>
      <c r="F240" s="33">
        <v>-0.91060623931121953</v>
      </c>
      <c r="G240" s="33">
        <v>53.414410673206753</v>
      </c>
    </row>
    <row r="241" spans="1:7" x14ac:dyDescent="0.25">
      <c r="A241" s="32">
        <v>2</v>
      </c>
      <c r="B241" s="31" t="s">
        <v>455</v>
      </c>
      <c r="C241" s="30" t="s">
        <v>456</v>
      </c>
      <c r="D241" s="29">
        <v>8.3451099887000009</v>
      </c>
      <c r="E241" s="29">
        <v>0.10848537308385886</v>
      </c>
      <c r="F241" s="29">
        <v>1.2999873366649142</v>
      </c>
      <c r="G241" s="29">
        <v>8.4535953617838597</v>
      </c>
    </row>
    <row r="242" spans="1:7" x14ac:dyDescent="0.25">
      <c r="A242" s="44">
        <v>3</v>
      </c>
      <c r="B242" s="43" t="s">
        <v>457</v>
      </c>
      <c r="C242" s="42" t="s">
        <v>458</v>
      </c>
      <c r="D242" s="41">
        <v>0.1</v>
      </c>
      <c r="E242" s="41">
        <v>0</v>
      </c>
      <c r="F242" s="41">
        <v>0</v>
      </c>
      <c r="G242" s="41">
        <v>0.1</v>
      </c>
    </row>
    <row r="243" spans="1:7" x14ac:dyDescent="0.25">
      <c r="A243" s="36">
        <v>3</v>
      </c>
      <c r="B243" s="35" t="s">
        <v>459</v>
      </c>
      <c r="C243" s="34" t="s">
        <v>460</v>
      </c>
      <c r="D243" s="33">
        <v>8.0405426255000005</v>
      </c>
      <c r="E243" s="33">
        <v>0.12102904021669225</v>
      </c>
      <c r="F243" s="33">
        <v>1.5052347317065067</v>
      </c>
      <c r="G243" s="33">
        <v>8.1615716657166928</v>
      </c>
    </row>
    <row r="244" spans="1:7" x14ac:dyDescent="0.25">
      <c r="A244" s="36">
        <v>3</v>
      </c>
      <c r="B244" s="35" t="s">
        <v>461</v>
      </c>
      <c r="C244" s="34" t="s">
        <v>462</v>
      </c>
      <c r="D244" s="33">
        <v>0.60925684369999999</v>
      </c>
      <c r="E244" s="33">
        <v>-1.5303897556013024E-2</v>
      </c>
      <c r="F244" s="33">
        <v>-2.511895880081195</v>
      </c>
      <c r="G244" s="33">
        <v>0.59395294614398697</v>
      </c>
    </row>
    <row r="245" spans="1:7" x14ac:dyDescent="0.25">
      <c r="A245" s="32">
        <v>2</v>
      </c>
      <c r="B245" s="31" t="s">
        <v>463</v>
      </c>
      <c r="C245" s="30" t="s">
        <v>464</v>
      </c>
      <c r="D245" s="29">
        <v>97.793780214999998</v>
      </c>
      <c r="E245" s="29">
        <v>4.8948621433057582</v>
      </c>
      <c r="F245" s="29">
        <v>5.0052898380084958</v>
      </c>
      <c r="G245" s="29">
        <v>102.68864235830576</v>
      </c>
    </row>
    <row r="246" spans="1:7" x14ac:dyDescent="0.25">
      <c r="A246" s="36">
        <v>3</v>
      </c>
      <c r="B246" s="35" t="s">
        <v>465</v>
      </c>
      <c r="C246" s="34" t="s">
        <v>464</v>
      </c>
      <c r="D246" s="33">
        <v>97.793780214999998</v>
      </c>
      <c r="E246" s="33">
        <v>4.8948621433057582</v>
      </c>
      <c r="F246" s="33">
        <v>5.0052898380084958</v>
      </c>
      <c r="G246" s="33">
        <v>102.68864235830576</v>
      </c>
    </row>
    <row r="247" spans="1:7" x14ac:dyDescent="0.25">
      <c r="A247" s="32">
        <v>2</v>
      </c>
      <c r="B247" s="31" t="s">
        <v>466</v>
      </c>
      <c r="C247" s="30" t="s">
        <v>467</v>
      </c>
      <c r="D247" s="29">
        <v>90.776944134000004</v>
      </c>
      <c r="E247" s="29">
        <v>2.813979728339703</v>
      </c>
      <c r="F247" s="29">
        <v>3.0998837372029824</v>
      </c>
      <c r="G247" s="29">
        <v>93.590923862339707</v>
      </c>
    </row>
    <row r="248" spans="1:7" x14ac:dyDescent="0.25">
      <c r="A248" s="36">
        <v>3</v>
      </c>
      <c r="B248" s="35" t="s">
        <v>468</v>
      </c>
      <c r="C248" s="34" t="s">
        <v>469</v>
      </c>
      <c r="D248" s="33">
        <v>0.50737852679999995</v>
      </c>
      <c r="E248" s="33">
        <v>0</v>
      </c>
      <c r="F248" s="33">
        <v>0</v>
      </c>
      <c r="G248" s="33">
        <v>0.50737852679999995</v>
      </c>
    </row>
    <row r="249" spans="1:7" x14ac:dyDescent="0.25">
      <c r="A249" s="36">
        <v>3</v>
      </c>
      <c r="B249" s="35" t="s">
        <v>470</v>
      </c>
      <c r="C249" s="34" t="s">
        <v>471</v>
      </c>
      <c r="D249" s="33">
        <v>16.761802659000001</v>
      </c>
      <c r="E249" s="33">
        <v>-0.19163494288871874</v>
      </c>
      <c r="F249" s="33">
        <v>-1.14328361207512</v>
      </c>
      <c r="G249" s="33">
        <v>16.570167716111282</v>
      </c>
    </row>
    <row r="250" spans="1:7" x14ac:dyDescent="0.25">
      <c r="A250" s="36">
        <v>3</v>
      </c>
      <c r="B250" s="35" t="s">
        <v>472</v>
      </c>
      <c r="C250" s="34" t="s">
        <v>473</v>
      </c>
      <c r="D250" s="33">
        <v>13.812323103000001</v>
      </c>
      <c r="E250" s="33">
        <v>0.27474897629542028</v>
      </c>
      <c r="F250" s="33">
        <v>1.9891583352531446</v>
      </c>
      <c r="G250" s="33">
        <v>14.087072079295421</v>
      </c>
    </row>
    <row r="251" spans="1:7" x14ac:dyDescent="0.25">
      <c r="A251" s="36">
        <v>3</v>
      </c>
      <c r="B251" s="35" t="s">
        <v>474</v>
      </c>
      <c r="C251" s="34" t="s">
        <v>475</v>
      </c>
      <c r="D251" s="33">
        <v>58.423609841000001</v>
      </c>
      <c r="E251" s="33">
        <v>2.7308656949329944</v>
      </c>
      <c r="F251" s="33">
        <v>4.6742501916007111</v>
      </c>
      <c r="G251" s="33">
        <v>61.154475535932995</v>
      </c>
    </row>
    <row r="252" spans="1:7" x14ac:dyDescent="0.25">
      <c r="A252" s="32">
        <v>2</v>
      </c>
      <c r="B252" s="31" t="s">
        <v>476</v>
      </c>
      <c r="C252" s="30" t="s">
        <v>477</v>
      </c>
      <c r="D252" s="29">
        <v>67.960704003999993</v>
      </c>
      <c r="E252" s="29">
        <v>10.600322358589409</v>
      </c>
      <c r="F252" s="29">
        <v>15.597722998816346</v>
      </c>
      <c r="G252" s="29">
        <v>78.561026362589402</v>
      </c>
    </row>
    <row r="253" spans="1:7" x14ac:dyDescent="0.25">
      <c r="A253" s="36">
        <v>3</v>
      </c>
      <c r="B253" s="35" t="s">
        <v>478</v>
      </c>
      <c r="C253" s="34" t="s">
        <v>477</v>
      </c>
      <c r="D253" s="33">
        <v>67.960704003999993</v>
      </c>
      <c r="E253" s="33">
        <v>10.600322358589409</v>
      </c>
      <c r="F253" s="33">
        <v>15.597722998816346</v>
      </c>
      <c r="G253" s="33">
        <v>78.561026362589402</v>
      </c>
    </row>
    <row r="254" spans="1:7" x14ac:dyDescent="0.25">
      <c r="A254" s="32">
        <v>2</v>
      </c>
      <c r="B254" s="31" t="s">
        <v>479</v>
      </c>
      <c r="C254" s="30" t="s">
        <v>480</v>
      </c>
      <c r="D254" s="29">
        <v>2.2028875069999998</v>
      </c>
      <c r="E254" s="29">
        <v>0</v>
      </c>
      <c r="F254" s="29">
        <v>0</v>
      </c>
      <c r="G254" s="29">
        <v>2.2028875069999998</v>
      </c>
    </row>
    <row r="255" spans="1:7" x14ac:dyDescent="0.25">
      <c r="A255" s="28">
        <v>3</v>
      </c>
      <c r="B255" s="27" t="s">
        <v>481</v>
      </c>
      <c r="C255" s="26" t="s">
        <v>480</v>
      </c>
      <c r="D255" s="25">
        <v>2.2028875069999998</v>
      </c>
      <c r="E255" s="25">
        <v>0</v>
      </c>
      <c r="F255" s="25">
        <v>0</v>
      </c>
      <c r="G255" s="25">
        <v>2.2028875069999998</v>
      </c>
    </row>
    <row r="256" spans="1:7" x14ac:dyDescent="0.25">
      <c r="A256" s="40">
        <v>1</v>
      </c>
      <c r="B256" s="39" t="s">
        <v>482</v>
      </c>
      <c r="C256" s="38" t="s">
        <v>483</v>
      </c>
      <c r="D256" s="37">
        <v>204.68242330000001</v>
      </c>
      <c r="E256" s="37">
        <v>-0.5815997302208018</v>
      </c>
      <c r="F256" s="37">
        <v>-0.28414737369430088</v>
      </c>
      <c r="G256" s="37">
        <v>204.10082356977921</v>
      </c>
    </row>
    <row r="257" spans="1:7" x14ac:dyDescent="0.25">
      <c r="A257" s="32">
        <v>2</v>
      </c>
      <c r="B257" s="31" t="s">
        <v>484</v>
      </c>
      <c r="C257" s="30" t="s">
        <v>485</v>
      </c>
      <c r="D257" s="29">
        <v>23.898993956000002</v>
      </c>
      <c r="E257" s="29">
        <v>-3.4517839056338211</v>
      </c>
      <c r="F257" s="29">
        <v>-14.443218455089937</v>
      </c>
      <c r="G257" s="29">
        <v>20.447210050366181</v>
      </c>
    </row>
    <row r="258" spans="1:7" x14ac:dyDescent="0.25">
      <c r="A258" s="36">
        <v>3</v>
      </c>
      <c r="B258" s="35" t="s">
        <v>486</v>
      </c>
      <c r="C258" s="34" t="s">
        <v>487</v>
      </c>
      <c r="D258" s="33">
        <v>3.1490436682</v>
      </c>
      <c r="E258" s="33">
        <v>-0.45525052575128289</v>
      </c>
      <c r="F258" s="33">
        <v>-14.456786685702108</v>
      </c>
      <c r="G258" s="33">
        <v>2.6937931424487171</v>
      </c>
    </row>
    <row r="259" spans="1:7" x14ac:dyDescent="0.25">
      <c r="A259" s="36">
        <v>3</v>
      </c>
      <c r="B259" s="35" t="s">
        <v>488</v>
      </c>
      <c r="C259" s="34" t="s">
        <v>489</v>
      </c>
      <c r="D259" s="33">
        <v>21.280121350999998</v>
      </c>
      <c r="E259" s="33">
        <v>-2.9974301702648916</v>
      </c>
      <c r="F259" s="33">
        <v>-14.085587769094351</v>
      </c>
      <c r="G259" s="33">
        <v>18.282691180735107</v>
      </c>
    </row>
    <row r="260" spans="1:7" x14ac:dyDescent="0.25">
      <c r="A260" s="36">
        <v>3</v>
      </c>
      <c r="B260" s="35" t="s">
        <v>490</v>
      </c>
      <c r="C260" s="34" t="s">
        <v>491</v>
      </c>
      <c r="D260" s="33">
        <v>0.1095965896</v>
      </c>
      <c r="E260" s="33">
        <v>8.9679038235265796E-4</v>
      </c>
      <c r="F260" s="33">
        <v>0.81826486173129775</v>
      </c>
      <c r="G260" s="33">
        <v>0.11049337998235266</v>
      </c>
    </row>
    <row r="261" spans="1:7" x14ac:dyDescent="0.25">
      <c r="A261" s="32">
        <v>2</v>
      </c>
      <c r="B261" s="31" t="s">
        <v>492</v>
      </c>
      <c r="C261" s="30" t="s">
        <v>493</v>
      </c>
      <c r="D261" s="29">
        <v>33.044534278</v>
      </c>
      <c r="E261" s="29">
        <v>3.8766758728801918</v>
      </c>
      <c r="F261" s="29">
        <v>11.731670479196794</v>
      </c>
      <c r="G261" s="29">
        <v>36.921210150880192</v>
      </c>
    </row>
    <row r="262" spans="1:7" x14ac:dyDescent="0.25">
      <c r="A262" s="36">
        <v>3</v>
      </c>
      <c r="B262" s="35" t="s">
        <v>494</v>
      </c>
      <c r="C262" s="34" t="s">
        <v>495</v>
      </c>
      <c r="D262" s="33">
        <v>0.1213180866</v>
      </c>
      <c r="E262" s="33">
        <v>1.9682627591370572E-4</v>
      </c>
      <c r="F262" s="33">
        <v>0.16223984521175733</v>
      </c>
      <c r="G262" s="33">
        <v>0.12151491287591371</v>
      </c>
    </row>
    <row r="263" spans="1:7" x14ac:dyDescent="0.25">
      <c r="A263" s="36">
        <v>3</v>
      </c>
      <c r="B263" s="35" t="s">
        <v>496</v>
      </c>
      <c r="C263" s="34" t="s">
        <v>497</v>
      </c>
      <c r="D263" s="33">
        <v>32.514485804000003</v>
      </c>
      <c r="E263" s="33">
        <v>3.8384403240445266</v>
      </c>
      <c r="F263" s="33">
        <v>11.805323778401297</v>
      </c>
      <c r="G263" s="33">
        <v>36.35292612804453</v>
      </c>
    </row>
    <row r="264" spans="1:7" x14ac:dyDescent="0.25">
      <c r="A264" s="36">
        <v>3</v>
      </c>
      <c r="B264" s="35" t="s">
        <v>498</v>
      </c>
      <c r="C264" s="34" t="s">
        <v>499</v>
      </c>
      <c r="D264" s="33">
        <v>0.47282036370000002</v>
      </c>
      <c r="E264" s="33">
        <v>3.8038722559755156E-2</v>
      </c>
      <c r="F264" s="33">
        <v>8.0450685884354929</v>
      </c>
      <c r="G264" s="33">
        <v>0.51085908625975518</v>
      </c>
    </row>
    <row r="265" spans="1:7" x14ac:dyDescent="0.25">
      <c r="A265" s="32">
        <v>2</v>
      </c>
      <c r="B265" s="31" t="s">
        <v>500</v>
      </c>
      <c r="C265" s="30" t="s">
        <v>501</v>
      </c>
      <c r="D265" s="29">
        <v>31.338414925999999</v>
      </c>
      <c r="E265" s="29">
        <v>1.0170224838243911</v>
      </c>
      <c r="F265" s="29">
        <v>3.245290121487975</v>
      </c>
      <c r="G265" s="29">
        <v>32.35543740982439</v>
      </c>
    </row>
    <row r="266" spans="1:7" x14ac:dyDescent="0.25">
      <c r="A266" s="36">
        <v>3</v>
      </c>
      <c r="B266" s="35" t="s">
        <v>502</v>
      </c>
      <c r="C266" s="34" t="s">
        <v>503</v>
      </c>
      <c r="D266" s="33">
        <v>0.43787671389999999</v>
      </c>
      <c r="E266" s="33">
        <v>1.3280334616706135E-2</v>
      </c>
      <c r="F266" s="33">
        <v>3.0328935508863415</v>
      </c>
      <c r="G266" s="33">
        <v>0.45115704851670613</v>
      </c>
    </row>
    <row r="267" spans="1:7" x14ac:dyDescent="0.25">
      <c r="A267" s="36">
        <v>3</v>
      </c>
      <c r="B267" s="35" t="s">
        <v>504</v>
      </c>
      <c r="C267" s="34" t="s">
        <v>505</v>
      </c>
      <c r="D267" s="33">
        <v>8.7207011920999999</v>
      </c>
      <c r="E267" s="33">
        <v>0.40323363343433272</v>
      </c>
      <c r="F267" s="33">
        <v>4.6238671014163204</v>
      </c>
      <c r="G267" s="33">
        <v>9.1239348255343327</v>
      </c>
    </row>
    <row r="268" spans="1:7" x14ac:dyDescent="0.25">
      <c r="A268" s="36">
        <v>3</v>
      </c>
      <c r="B268" s="35" t="s">
        <v>506</v>
      </c>
      <c r="C268" s="34" t="s">
        <v>507</v>
      </c>
      <c r="D268" s="33">
        <v>22.520493115000001</v>
      </c>
      <c r="E268" s="33">
        <v>0.60050851577334896</v>
      </c>
      <c r="F268" s="33">
        <v>2.6664980766934194</v>
      </c>
      <c r="G268" s="33">
        <v>23.12100163077335</v>
      </c>
    </row>
    <row r="269" spans="1:7" x14ac:dyDescent="0.25">
      <c r="A269" s="32">
        <v>2</v>
      </c>
      <c r="B269" s="31" t="s">
        <v>508</v>
      </c>
      <c r="C269" s="30" t="s">
        <v>509</v>
      </c>
      <c r="D269" s="29">
        <v>0.75671881809999997</v>
      </c>
      <c r="E269" s="29">
        <v>-2.6209681128480655E-3</v>
      </c>
      <c r="F269" s="29">
        <v>-0.34635957903477244</v>
      </c>
      <c r="G269" s="29">
        <v>0.7540978499871519</v>
      </c>
    </row>
    <row r="270" spans="1:7" x14ac:dyDescent="0.25">
      <c r="A270" s="36">
        <v>3</v>
      </c>
      <c r="B270" s="35" t="s">
        <v>510</v>
      </c>
      <c r="C270" s="34" t="s">
        <v>509</v>
      </c>
      <c r="D270" s="33">
        <v>0.75671881809999997</v>
      </c>
      <c r="E270" s="33">
        <v>-2.6209681128480655E-3</v>
      </c>
      <c r="F270" s="33">
        <v>-0.34635957903477244</v>
      </c>
      <c r="G270" s="33">
        <v>0.7540978499871519</v>
      </c>
    </row>
    <row r="271" spans="1:7" x14ac:dyDescent="0.25">
      <c r="A271" s="32">
        <v>2</v>
      </c>
      <c r="B271" s="31" t="s">
        <v>511</v>
      </c>
      <c r="C271" s="30" t="s">
        <v>512</v>
      </c>
      <c r="D271" s="29">
        <v>95.628010391999993</v>
      </c>
      <c r="E271" s="29">
        <v>-1.3566828238754596</v>
      </c>
      <c r="F271" s="29">
        <v>-1.418708617186661</v>
      </c>
      <c r="G271" s="29">
        <v>94.271327568124534</v>
      </c>
    </row>
    <row r="272" spans="1:7" x14ac:dyDescent="0.25">
      <c r="A272" s="36">
        <v>3</v>
      </c>
      <c r="B272" s="35" t="s">
        <v>513</v>
      </c>
      <c r="C272" s="34" t="s">
        <v>512</v>
      </c>
      <c r="D272" s="33">
        <v>95.628010391999993</v>
      </c>
      <c r="E272" s="33">
        <v>-1.3566828238754596</v>
      </c>
      <c r="F272" s="33">
        <v>-1.418708617186661</v>
      </c>
      <c r="G272" s="33">
        <v>94.271327568124534</v>
      </c>
    </row>
    <row r="273" spans="1:7" x14ac:dyDescent="0.25">
      <c r="A273" s="32">
        <v>2</v>
      </c>
      <c r="B273" s="31" t="s">
        <v>514</v>
      </c>
      <c r="C273" s="30" t="s">
        <v>515</v>
      </c>
      <c r="D273" s="29">
        <v>9.0603986723999999</v>
      </c>
      <c r="E273" s="29">
        <v>-0.20206126749968512</v>
      </c>
      <c r="F273" s="29">
        <v>-2.2301586807124605</v>
      </c>
      <c r="G273" s="29">
        <v>8.8583374049003147</v>
      </c>
    </row>
    <row r="274" spans="1:7" x14ac:dyDescent="0.25">
      <c r="A274" s="44">
        <v>3</v>
      </c>
      <c r="B274" s="43" t="s">
        <v>516</v>
      </c>
      <c r="C274" s="42" t="s">
        <v>517</v>
      </c>
      <c r="D274" s="41">
        <v>0.1501306962</v>
      </c>
      <c r="E274" s="41">
        <v>0</v>
      </c>
      <c r="F274" s="41">
        <v>0</v>
      </c>
      <c r="G274" s="41">
        <v>0.1501306962</v>
      </c>
    </row>
    <row r="275" spans="1:7" x14ac:dyDescent="0.25">
      <c r="A275" s="36">
        <v>3</v>
      </c>
      <c r="B275" s="35" t="s">
        <v>518</v>
      </c>
      <c r="C275" s="34" t="s">
        <v>519</v>
      </c>
      <c r="D275" s="33">
        <v>6.4721772079999997</v>
      </c>
      <c r="E275" s="33">
        <v>-3.9987005910313123E-2</v>
      </c>
      <c r="F275" s="33">
        <v>-0.61782928101669998</v>
      </c>
      <c r="G275" s="33">
        <v>6.4321902020896866</v>
      </c>
    </row>
    <row r="276" spans="1:7" x14ac:dyDescent="0.25">
      <c r="A276" s="36">
        <v>3</v>
      </c>
      <c r="B276" s="35" t="s">
        <v>520</v>
      </c>
      <c r="C276" s="34" t="s">
        <v>521</v>
      </c>
      <c r="D276" s="33">
        <v>2.6532085477999998</v>
      </c>
      <c r="E276" s="33">
        <v>-0.16207426158937333</v>
      </c>
      <c r="F276" s="33">
        <v>-6.1086137282258814</v>
      </c>
      <c r="G276" s="33">
        <v>2.4911342862106265</v>
      </c>
    </row>
    <row r="277" spans="1:7" x14ac:dyDescent="0.25">
      <c r="A277" s="32">
        <v>2</v>
      </c>
      <c r="B277" s="31" t="s">
        <v>522</v>
      </c>
      <c r="C277" s="30" t="s">
        <v>523</v>
      </c>
      <c r="D277" s="29">
        <v>13.235849687</v>
      </c>
      <c r="E277" s="29">
        <v>-0.46214912180353807</v>
      </c>
      <c r="F277" s="29">
        <v>-3.4916467981458879</v>
      </c>
      <c r="G277" s="29">
        <v>12.773700565196462</v>
      </c>
    </row>
    <row r="278" spans="1:7" x14ac:dyDescent="0.25">
      <c r="A278" s="44">
        <v>3</v>
      </c>
      <c r="B278" s="43" t="s">
        <v>524</v>
      </c>
      <c r="C278" s="42" t="s">
        <v>525</v>
      </c>
      <c r="D278" s="41">
        <v>0.17381054879999999</v>
      </c>
      <c r="E278" s="41">
        <v>0</v>
      </c>
      <c r="F278" s="41">
        <v>0</v>
      </c>
      <c r="G278" s="41">
        <v>0.17381054879999999</v>
      </c>
    </row>
    <row r="279" spans="1:7" x14ac:dyDescent="0.25">
      <c r="A279" s="36">
        <v>3</v>
      </c>
      <c r="B279" s="35" t="s">
        <v>526</v>
      </c>
      <c r="C279" s="34" t="s">
        <v>527</v>
      </c>
      <c r="D279" s="33">
        <v>13.22783057</v>
      </c>
      <c r="E279" s="33">
        <v>-0.4551511942665325</v>
      </c>
      <c r="F279" s="33">
        <v>-3.4408604786546828</v>
      </c>
      <c r="G279" s="33">
        <v>12.772679375733468</v>
      </c>
    </row>
    <row r="280" spans="1:7" x14ac:dyDescent="0.25">
      <c r="A280" s="36">
        <v>3</v>
      </c>
      <c r="B280" s="35" t="s">
        <v>528</v>
      </c>
      <c r="C280" s="34" t="s">
        <v>529</v>
      </c>
      <c r="D280" s="33">
        <v>9.6635220699999996E-2</v>
      </c>
      <c r="E280" s="33">
        <v>-6.9979275370065652E-3</v>
      </c>
      <c r="F280" s="33">
        <v>-7.2415910951674016</v>
      </c>
      <c r="G280" s="33">
        <v>8.9637293162993431E-2</v>
      </c>
    </row>
    <row r="281" spans="1:7" x14ac:dyDescent="0.25">
      <c r="A281" s="32">
        <v>2</v>
      </c>
      <c r="B281" s="31" t="s">
        <v>530</v>
      </c>
      <c r="C281" s="30" t="s">
        <v>531</v>
      </c>
      <c r="D281" s="29">
        <v>0.1015890753</v>
      </c>
      <c r="E281" s="29">
        <v>0</v>
      </c>
      <c r="F281" s="29">
        <v>0</v>
      </c>
      <c r="G281" s="29">
        <v>0.1015890753</v>
      </c>
    </row>
    <row r="282" spans="1:7" x14ac:dyDescent="0.25">
      <c r="A282" s="28">
        <v>3</v>
      </c>
      <c r="B282" s="27" t="s">
        <v>532</v>
      </c>
      <c r="C282" s="26" t="s">
        <v>531</v>
      </c>
      <c r="D282" s="25">
        <v>0.1015890753</v>
      </c>
      <c r="E282" s="25">
        <v>0</v>
      </c>
      <c r="F282" s="25">
        <v>0</v>
      </c>
      <c r="G282" s="25">
        <v>0.1015890753</v>
      </c>
    </row>
    <row r="283" spans="1:7" x14ac:dyDescent="0.25">
      <c r="A283" s="40">
        <v>1</v>
      </c>
      <c r="B283" s="39" t="s">
        <v>533</v>
      </c>
      <c r="C283" s="38" t="s">
        <v>534</v>
      </c>
      <c r="D283" s="37">
        <v>438.7573233</v>
      </c>
      <c r="E283" s="37">
        <v>20.39697798346009</v>
      </c>
      <c r="F283" s="37">
        <v>4.6488062763373348</v>
      </c>
      <c r="G283" s="37">
        <v>459.15430128346009</v>
      </c>
    </row>
    <row r="284" spans="1:7" x14ac:dyDescent="0.25">
      <c r="A284" s="32">
        <v>2</v>
      </c>
      <c r="B284" s="31" t="s">
        <v>535</v>
      </c>
      <c r="C284" s="30" t="s">
        <v>536</v>
      </c>
      <c r="D284" s="29">
        <v>194.53276127000001</v>
      </c>
      <c r="E284" s="29">
        <v>-2.0835436973286221</v>
      </c>
      <c r="F284" s="29">
        <v>-1.0710502867107234</v>
      </c>
      <c r="G284" s="29">
        <v>192.44921757267139</v>
      </c>
    </row>
    <row r="285" spans="1:7" x14ac:dyDescent="0.25">
      <c r="A285" s="36">
        <v>3</v>
      </c>
      <c r="B285" s="35" t="s">
        <v>537</v>
      </c>
      <c r="C285" s="34" t="s">
        <v>538</v>
      </c>
      <c r="D285" s="33">
        <v>18.69824741</v>
      </c>
      <c r="E285" s="33">
        <v>2.7585843172062141E-4</v>
      </c>
      <c r="F285" s="33">
        <v>1.4753170480196432E-3</v>
      </c>
      <c r="G285" s="33">
        <v>18.698523268431721</v>
      </c>
    </row>
    <row r="286" spans="1:7" x14ac:dyDescent="0.25">
      <c r="A286" s="36">
        <v>3</v>
      </c>
      <c r="B286" s="35" t="s">
        <v>539</v>
      </c>
      <c r="C286" s="34" t="s">
        <v>540</v>
      </c>
      <c r="D286" s="33">
        <v>1.1750885034</v>
      </c>
      <c r="E286" s="33">
        <v>6.4649369246176702E-2</v>
      </c>
      <c r="F286" s="33">
        <v>5.5016595821608565</v>
      </c>
      <c r="G286" s="33">
        <v>1.2397378726461767</v>
      </c>
    </row>
    <row r="287" spans="1:7" x14ac:dyDescent="0.25">
      <c r="A287" s="36">
        <v>3</v>
      </c>
      <c r="B287" s="35" t="s">
        <v>541</v>
      </c>
      <c r="C287" s="34" t="s">
        <v>542</v>
      </c>
      <c r="D287" s="33">
        <v>163.82785964999999</v>
      </c>
      <c r="E287" s="33">
        <v>-2.4352496532728196</v>
      </c>
      <c r="F287" s="33">
        <v>-1.4864685765140677</v>
      </c>
      <c r="G287" s="33">
        <v>161.39260999672717</v>
      </c>
    </row>
    <row r="288" spans="1:7" x14ac:dyDescent="0.25">
      <c r="A288" s="36">
        <v>3</v>
      </c>
      <c r="B288" s="35" t="s">
        <v>543</v>
      </c>
      <c r="C288" s="34" t="s">
        <v>544</v>
      </c>
      <c r="D288" s="33">
        <v>3.4307253070999999</v>
      </c>
      <c r="E288" s="33">
        <v>0.15551825182371504</v>
      </c>
      <c r="F288" s="33">
        <v>4.5331012512679125</v>
      </c>
      <c r="G288" s="33">
        <v>3.5862435589237149</v>
      </c>
    </row>
    <row r="289" spans="1:7" x14ac:dyDescent="0.25">
      <c r="A289" s="36">
        <v>3</v>
      </c>
      <c r="B289" s="35" t="s">
        <v>545</v>
      </c>
      <c r="C289" s="34" t="s">
        <v>546</v>
      </c>
      <c r="D289" s="33">
        <v>7.5790298022</v>
      </c>
      <c r="E289" s="33">
        <v>0.13126247644259958</v>
      </c>
      <c r="F289" s="33">
        <v>1.7319166155607069</v>
      </c>
      <c r="G289" s="33">
        <v>7.7102922786425996</v>
      </c>
    </row>
    <row r="290" spans="1:7" x14ac:dyDescent="0.25">
      <c r="A290" s="32">
        <v>2</v>
      </c>
      <c r="B290" s="31" t="s">
        <v>547</v>
      </c>
      <c r="C290" s="30" t="s">
        <v>548</v>
      </c>
      <c r="D290" s="29">
        <v>92.550134619000005</v>
      </c>
      <c r="E290" s="29">
        <v>6.5398733902576964</v>
      </c>
      <c r="F290" s="29">
        <v>7.0663034874884971</v>
      </c>
      <c r="G290" s="29">
        <v>99.090008009257701</v>
      </c>
    </row>
    <row r="291" spans="1:7" x14ac:dyDescent="0.25">
      <c r="A291" s="36">
        <v>3</v>
      </c>
      <c r="B291" s="35" t="s">
        <v>549</v>
      </c>
      <c r="C291" s="34" t="s">
        <v>550</v>
      </c>
      <c r="D291" s="33">
        <v>0.63665399810000001</v>
      </c>
      <c r="E291" s="33">
        <v>0</v>
      </c>
      <c r="F291" s="33">
        <v>0</v>
      </c>
      <c r="G291" s="33">
        <v>0.63665399810000001</v>
      </c>
    </row>
    <row r="292" spans="1:7" x14ac:dyDescent="0.25">
      <c r="A292" s="36">
        <v>3</v>
      </c>
      <c r="B292" s="35" t="s">
        <v>551</v>
      </c>
      <c r="C292" s="34" t="s">
        <v>552</v>
      </c>
      <c r="D292" s="33">
        <v>2.9576513671</v>
      </c>
      <c r="E292" s="33">
        <v>0.20419526375440489</v>
      </c>
      <c r="F292" s="33">
        <v>6.9039666414307614</v>
      </c>
      <c r="G292" s="33">
        <v>3.1618466308544049</v>
      </c>
    </row>
    <row r="293" spans="1:7" x14ac:dyDescent="0.25">
      <c r="A293" s="36">
        <v>3</v>
      </c>
      <c r="B293" s="35" t="s">
        <v>553</v>
      </c>
      <c r="C293" s="34" t="s">
        <v>554</v>
      </c>
      <c r="D293" s="33">
        <v>77.651708442</v>
      </c>
      <c r="E293" s="33">
        <v>6.7862336850819531</v>
      </c>
      <c r="F293" s="33">
        <v>8.7393230892669411</v>
      </c>
      <c r="G293" s="33">
        <v>84.437942127081953</v>
      </c>
    </row>
    <row r="294" spans="1:7" x14ac:dyDescent="0.25">
      <c r="A294" s="36">
        <v>3</v>
      </c>
      <c r="B294" s="35" t="s">
        <v>555</v>
      </c>
      <c r="C294" s="34" t="s">
        <v>556</v>
      </c>
      <c r="D294" s="33">
        <v>12.346922792999999</v>
      </c>
      <c r="E294" s="33">
        <v>-0.45055555857866025</v>
      </c>
      <c r="F294" s="33">
        <v>-3.6491323881453241</v>
      </c>
      <c r="G294" s="33">
        <v>11.896367234421339</v>
      </c>
    </row>
    <row r="295" spans="1:7" x14ac:dyDescent="0.25">
      <c r="A295" s="32">
        <v>2</v>
      </c>
      <c r="B295" s="31" t="s">
        <v>557</v>
      </c>
      <c r="C295" s="30" t="s">
        <v>558</v>
      </c>
      <c r="D295" s="29">
        <v>151.97242249000001</v>
      </c>
      <c r="E295" s="29">
        <v>15.940648290531072</v>
      </c>
      <c r="F295" s="29">
        <v>10.489171672959277</v>
      </c>
      <c r="G295" s="29">
        <v>167.91307078053109</v>
      </c>
    </row>
    <row r="296" spans="1:7" x14ac:dyDescent="0.25">
      <c r="A296" s="36">
        <v>3</v>
      </c>
      <c r="B296" s="35" t="s">
        <v>559</v>
      </c>
      <c r="C296" s="34" t="s">
        <v>560</v>
      </c>
      <c r="D296" s="33">
        <v>0.87958694309999996</v>
      </c>
      <c r="E296" s="33">
        <v>-4.8927640847185039E-3</v>
      </c>
      <c r="F296" s="33">
        <v>-0.55625701621655921</v>
      </c>
      <c r="G296" s="33">
        <v>0.87469417901528146</v>
      </c>
    </row>
    <row r="297" spans="1:7" x14ac:dyDescent="0.25">
      <c r="A297" s="36">
        <v>3</v>
      </c>
      <c r="B297" s="35" t="s">
        <v>561</v>
      </c>
      <c r="C297" s="34" t="s">
        <v>562</v>
      </c>
      <c r="D297" s="33">
        <v>132.97651667</v>
      </c>
      <c r="E297" s="33">
        <v>15.470760359611603</v>
      </c>
      <c r="F297" s="33">
        <v>11.634204855887811</v>
      </c>
      <c r="G297" s="33">
        <v>148.4472770296116</v>
      </c>
    </row>
    <row r="298" spans="1:7" x14ac:dyDescent="0.25">
      <c r="A298" s="36">
        <v>3</v>
      </c>
      <c r="B298" s="35" t="s">
        <v>563</v>
      </c>
      <c r="C298" s="34" t="s">
        <v>564</v>
      </c>
      <c r="D298" s="33">
        <v>19.103898006000001</v>
      </c>
      <c r="E298" s="33">
        <v>0.47478069500419551</v>
      </c>
      <c r="F298" s="33">
        <v>2.4852555999570356</v>
      </c>
      <c r="G298" s="33">
        <v>19.578678701004197</v>
      </c>
    </row>
    <row r="299" spans="1:7" x14ac:dyDescent="0.25">
      <c r="A299" s="32">
        <v>2</v>
      </c>
      <c r="B299" s="31" t="s">
        <v>565</v>
      </c>
      <c r="C299" s="30" t="s">
        <v>566</v>
      </c>
      <c r="D299" s="29">
        <v>0.1163011135</v>
      </c>
      <c r="E299" s="29">
        <v>0</v>
      </c>
      <c r="F299" s="29">
        <v>0</v>
      </c>
      <c r="G299" s="29">
        <v>0.1163011135</v>
      </c>
    </row>
    <row r="300" spans="1:7" x14ac:dyDescent="0.25">
      <c r="A300" s="28">
        <v>3</v>
      </c>
      <c r="B300" s="27" t="s">
        <v>567</v>
      </c>
      <c r="C300" s="26" t="s">
        <v>566</v>
      </c>
      <c r="D300" s="25">
        <v>0.1163011135</v>
      </c>
      <c r="E300" s="25">
        <v>0</v>
      </c>
      <c r="F300" s="25">
        <v>0</v>
      </c>
      <c r="G300" s="25">
        <v>0.1163011135</v>
      </c>
    </row>
    <row r="301" spans="1:7" x14ac:dyDescent="0.25">
      <c r="A301" s="40">
        <v>1</v>
      </c>
      <c r="B301" s="39" t="s">
        <v>568</v>
      </c>
      <c r="C301" s="38" t="s">
        <v>569</v>
      </c>
      <c r="D301" s="37">
        <v>214.5938884</v>
      </c>
      <c r="E301" s="37">
        <v>12.313080475342929</v>
      </c>
      <c r="F301" s="37">
        <v>5.7378523531814292</v>
      </c>
      <c r="G301" s="37">
        <v>226.90696887534293</v>
      </c>
    </row>
    <row r="302" spans="1:7" x14ac:dyDescent="0.25">
      <c r="A302" s="32">
        <v>2</v>
      </c>
      <c r="B302" s="31" t="s">
        <v>570</v>
      </c>
      <c r="C302" s="30" t="s">
        <v>571</v>
      </c>
      <c r="D302" s="29">
        <v>45.211212117999999</v>
      </c>
      <c r="E302" s="29">
        <v>1.678405182058178</v>
      </c>
      <c r="F302" s="29">
        <v>3.7123649277033035</v>
      </c>
      <c r="G302" s="29">
        <v>46.889617300058177</v>
      </c>
    </row>
    <row r="303" spans="1:7" x14ac:dyDescent="0.25">
      <c r="A303" s="36">
        <v>3</v>
      </c>
      <c r="B303" s="35" t="s">
        <v>572</v>
      </c>
      <c r="C303" s="34" t="s">
        <v>573</v>
      </c>
      <c r="D303" s="33">
        <v>0.20151551870000001</v>
      </c>
      <c r="E303" s="33">
        <v>7.4463347319019269E-3</v>
      </c>
      <c r="F303" s="33">
        <v>3.6951668933187363</v>
      </c>
      <c r="G303" s="33">
        <v>0.20896185343190193</v>
      </c>
    </row>
    <row r="304" spans="1:7" x14ac:dyDescent="0.25">
      <c r="A304" s="36">
        <v>3</v>
      </c>
      <c r="B304" s="35" t="s">
        <v>574</v>
      </c>
      <c r="C304" s="34" t="s">
        <v>575</v>
      </c>
      <c r="D304" s="33">
        <v>15.02588613</v>
      </c>
      <c r="E304" s="33">
        <v>1.0754777118426233</v>
      </c>
      <c r="F304" s="33">
        <v>7.1574994149288376</v>
      </c>
      <c r="G304" s="33">
        <v>16.101363841842623</v>
      </c>
    </row>
    <row r="305" spans="1:7" x14ac:dyDescent="0.25">
      <c r="A305" s="44">
        <v>3</v>
      </c>
      <c r="B305" s="43" t="s">
        <v>576</v>
      </c>
      <c r="C305" s="42" t="s">
        <v>577</v>
      </c>
      <c r="D305" s="41">
        <v>9.9850754999999999E-2</v>
      </c>
      <c r="E305" s="41">
        <v>0</v>
      </c>
      <c r="F305" s="41">
        <v>0</v>
      </c>
      <c r="G305" s="41">
        <v>9.9850754999999999E-2</v>
      </c>
    </row>
    <row r="306" spans="1:7" x14ac:dyDescent="0.25">
      <c r="A306" s="36">
        <v>3</v>
      </c>
      <c r="B306" s="35" t="s">
        <v>578</v>
      </c>
      <c r="C306" s="34" t="s">
        <v>579</v>
      </c>
      <c r="D306" s="33">
        <v>29.906154730000001</v>
      </c>
      <c r="E306" s="33">
        <v>0.58859774084178085</v>
      </c>
      <c r="F306" s="33">
        <v>1.9681491858641931</v>
      </c>
      <c r="G306" s="33">
        <v>30.494752470841782</v>
      </c>
    </row>
    <row r="307" spans="1:7" x14ac:dyDescent="0.25">
      <c r="A307" s="36">
        <v>3</v>
      </c>
      <c r="B307" s="35" t="s">
        <v>580</v>
      </c>
      <c r="C307" s="34" t="s">
        <v>581</v>
      </c>
      <c r="D307" s="33">
        <v>0.14903176439999999</v>
      </c>
      <c r="E307" s="33">
        <v>6.8833946418684344E-3</v>
      </c>
      <c r="F307" s="33">
        <v>4.6187433058857588</v>
      </c>
      <c r="G307" s="33">
        <v>0.15591515904186842</v>
      </c>
    </row>
    <row r="308" spans="1:7" x14ac:dyDescent="0.25">
      <c r="A308" s="32">
        <v>2</v>
      </c>
      <c r="B308" s="31" t="s">
        <v>582</v>
      </c>
      <c r="C308" s="30" t="s">
        <v>583</v>
      </c>
      <c r="D308" s="29">
        <v>168.21571015000001</v>
      </c>
      <c r="E308" s="29">
        <v>10.628908769633028</v>
      </c>
      <c r="F308" s="29">
        <v>6.3186183740835506</v>
      </c>
      <c r="G308" s="29">
        <v>178.84461891963304</v>
      </c>
    </row>
    <row r="309" spans="1:7" x14ac:dyDescent="0.25">
      <c r="A309" s="36">
        <v>3</v>
      </c>
      <c r="B309" s="35" t="s">
        <v>584</v>
      </c>
      <c r="C309" s="34" t="s">
        <v>585</v>
      </c>
      <c r="D309" s="33">
        <v>1.7059063494</v>
      </c>
      <c r="E309" s="33">
        <v>-8.9002916992872994E-3</v>
      </c>
      <c r="F309" s="33">
        <v>-0.52173389837125017</v>
      </c>
      <c r="G309" s="33">
        <v>1.6970060577007127</v>
      </c>
    </row>
    <row r="310" spans="1:7" x14ac:dyDescent="0.25">
      <c r="A310" s="36">
        <v>3</v>
      </c>
      <c r="B310" s="35" t="s">
        <v>586</v>
      </c>
      <c r="C310" s="34" t="s">
        <v>587</v>
      </c>
      <c r="D310" s="33">
        <v>43.214631982999997</v>
      </c>
      <c r="E310" s="33">
        <v>2.3887583278790032</v>
      </c>
      <c r="F310" s="33">
        <v>5.5276609293322361</v>
      </c>
      <c r="G310" s="33">
        <v>45.603390310879</v>
      </c>
    </row>
    <row r="311" spans="1:7" x14ac:dyDescent="0.25">
      <c r="A311" s="36">
        <v>3</v>
      </c>
      <c r="B311" s="35" t="s">
        <v>588</v>
      </c>
      <c r="C311" s="34" t="s">
        <v>589</v>
      </c>
      <c r="D311" s="33">
        <v>122.90619275</v>
      </c>
      <c r="E311" s="33">
        <v>8.2490507334533163</v>
      </c>
      <c r="F311" s="33">
        <v>6.7116640332619175</v>
      </c>
      <c r="G311" s="33">
        <v>131.15524348345332</v>
      </c>
    </row>
    <row r="312" spans="1:7" x14ac:dyDescent="0.25">
      <c r="A312" s="32">
        <v>2</v>
      </c>
      <c r="B312" s="31" t="s">
        <v>590</v>
      </c>
      <c r="C312" s="30" t="s">
        <v>591</v>
      </c>
      <c r="D312" s="29">
        <v>0.1</v>
      </c>
      <c r="E312" s="29">
        <v>5.7665236517054491E-3</v>
      </c>
      <c r="F312" s="29">
        <v>5.766523651705449</v>
      </c>
      <c r="G312" s="29">
        <v>0.10576652365170545</v>
      </c>
    </row>
    <row r="313" spans="1:7" x14ac:dyDescent="0.25">
      <c r="A313" s="28">
        <v>3</v>
      </c>
      <c r="B313" s="27" t="s">
        <v>592</v>
      </c>
      <c r="C313" s="26" t="s">
        <v>591</v>
      </c>
      <c r="D313" s="25">
        <v>0.1</v>
      </c>
      <c r="E313" s="25">
        <v>5.7665236517054491E-3</v>
      </c>
      <c r="F313" s="25">
        <v>5.766523651705449</v>
      </c>
      <c r="G313" s="25">
        <v>0.10576652365170545</v>
      </c>
    </row>
    <row r="314" spans="1:7" x14ac:dyDescent="0.25">
      <c r="A314" s="40">
        <v>1</v>
      </c>
      <c r="B314" s="39" t="s">
        <v>593</v>
      </c>
      <c r="C314" s="38" t="s">
        <v>594</v>
      </c>
      <c r="D314" s="37">
        <v>1141.8462774</v>
      </c>
      <c r="E314" s="37">
        <v>172.43595318935195</v>
      </c>
      <c r="F314" s="37">
        <v>15.101503293594916</v>
      </c>
      <c r="G314" s="37">
        <v>1314.2822305893519</v>
      </c>
    </row>
    <row r="315" spans="1:7" x14ac:dyDescent="0.25">
      <c r="A315" s="32">
        <v>2</v>
      </c>
      <c r="B315" s="31" t="s">
        <v>595</v>
      </c>
      <c r="C315" s="30" t="s">
        <v>596</v>
      </c>
      <c r="D315" s="29">
        <v>878.01385546999995</v>
      </c>
      <c r="E315" s="29">
        <v>129.33609188932678</v>
      </c>
      <c r="F315" s="29">
        <v>14.730529715854345</v>
      </c>
      <c r="G315" s="29">
        <v>1007.3499473593267</v>
      </c>
    </row>
    <row r="316" spans="1:7" x14ac:dyDescent="0.25">
      <c r="A316" s="36">
        <v>3</v>
      </c>
      <c r="B316" s="35" t="s">
        <v>597</v>
      </c>
      <c r="C316" s="34" t="s">
        <v>598</v>
      </c>
      <c r="D316" s="33">
        <v>1.5179429958999999</v>
      </c>
      <c r="E316" s="33">
        <v>0.21219258781946038</v>
      </c>
      <c r="F316" s="33">
        <v>13.978956284432128</v>
      </c>
      <c r="G316" s="33">
        <v>1.7301355837194603</v>
      </c>
    </row>
    <row r="317" spans="1:7" x14ac:dyDescent="0.25">
      <c r="A317" s="36">
        <v>3</v>
      </c>
      <c r="B317" s="35" t="s">
        <v>599</v>
      </c>
      <c r="C317" s="34" t="s">
        <v>600</v>
      </c>
      <c r="D317" s="33">
        <v>42.338949720000002</v>
      </c>
      <c r="E317" s="33">
        <v>5.638239763962055</v>
      </c>
      <c r="F317" s="33">
        <v>13.316909846015083</v>
      </c>
      <c r="G317" s="33">
        <v>47.977189483962057</v>
      </c>
    </row>
    <row r="318" spans="1:7" x14ac:dyDescent="0.25">
      <c r="A318" s="36">
        <v>3</v>
      </c>
      <c r="B318" s="35" t="s">
        <v>601</v>
      </c>
      <c r="C318" s="34" t="s">
        <v>602</v>
      </c>
      <c r="D318" s="33">
        <v>308.00587948999998</v>
      </c>
      <c r="E318" s="33">
        <v>45.100065711634954</v>
      </c>
      <c r="F318" s="33">
        <v>14.64259896152379</v>
      </c>
      <c r="G318" s="33">
        <v>353.10594520163494</v>
      </c>
    </row>
    <row r="319" spans="1:7" x14ac:dyDescent="0.25">
      <c r="A319" s="36">
        <v>3</v>
      </c>
      <c r="B319" s="35" t="s">
        <v>603</v>
      </c>
      <c r="C319" s="34" t="s">
        <v>604</v>
      </c>
      <c r="D319" s="33">
        <v>290.09032973000001</v>
      </c>
      <c r="E319" s="33">
        <v>38.338376847309405</v>
      </c>
      <c r="F319" s="33">
        <v>13.216013399341039</v>
      </c>
      <c r="G319" s="33">
        <v>328.42870657730941</v>
      </c>
    </row>
    <row r="320" spans="1:7" x14ac:dyDescent="0.25">
      <c r="A320" s="36">
        <v>3</v>
      </c>
      <c r="B320" s="35" t="s">
        <v>605</v>
      </c>
      <c r="C320" s="34" t="s">
        <v>606</v>
      </c>
      <c r="D320" s="33">
        <v>25.371390247000001</v>
      </c>
      <c r="E320" s="33">
        <v>1.981706458108011</v>
      </c>
      <c r="F320" s="33">
        <v>7.8107917572326757</v>
      </c>
      <c r="G320" s="33">
        <v>27.353096705108012</v>
      </c>
    </row>
    <row r="321" spans="1:7" x14ac:dyDescent="0.25">
      <c r="A321" s="36">
        <v>3</v>
      </c>
      <c r="B321" s="35" t="s">
        <v>607</v>
      </c>
      <c r="C321" s="34" t="s">
        <v>608</v>
      </c>
      <c r="D321" s="33">
        <v>44.154939145999997</v>
      </c>
      <c r="E321" s="33">
        <v>7.2700287618174357</v>
      </c>
      <c r="F321" s="33">
        <v>16.464814361489228</v>
      </c>
      <c r="G321" s="33">
        <v>51.424967907817432</v>
      </c>
    </row>
    <row r="322" spans="1:7" x14ac:dyDescent="0.25">
      <c r="A322" s="36">
        <v>3</v>
      </c>
      <c r="B322" s="35" t="s">
        <v>609</v>
      </c>
      <c r="C322" s="34" t="s">
        <v>610</v>
      </c>
      <c r="D322" s="33">
        <v>115.2627457</v>
      </c>
      <c r="E322" s="33">
        <v>22.23307047106438</v>
      </c>
      <c r="F322" s="33">
        <v>19.289034228745063</v>
      </c>
      <c r="G322" s="33">
        <v>137.49581617106438</v>
      </c>
    </row>
    <row r="323" spans="1:7" x14ac:dyDescent="0.25">
      <c r="A323" s="36">
        <v>3</v>
      </c>
      <c r="B323" s="35" t="s">
        <v>611</v>
      </c>
      <c r="C323" s="34" t="s">
        <v>612</v>
      </c>
      <c r="D323" s="33">
        <v>26.324763423</v>
      </c>
      <c r="E323" s="33">
        <v>2.0185957493433193</v>
      </c>
      <c r="F323" s="33">
        <v>7.6680489655594322</v>
      </c>
      <c r="G323" s="33">
        <v>28.34335917234332</v>
      </c>
    </row>
    <row r="324" spans="1:7" x14ac:dyDescent="0.25">
      <c r="A324" s="36">
        <v>3</v>
      </c>
      <c r="B324" s="35" t="s">
        <v>613</v>
      </c>
      <c r="C324" s="34" t="s">
        <v>614</v>
      </c>
      <c r="D324" s="33">
        <v>34.903345252000001</v>
      </c>
      <c r="E324" s="33">
        <v>6.5438155382679426</v>
      </c>
      <c r="F324" s="33">
        <v>18.748390708747252</v>
      </c>
      <c r="G324" s="33">
        <v>41.447160790267944</v>
      </c>
    </row>
    <row r="325" spans="1:7" x14ac:dyDescent="0.25">
      <c r="A325" s="32">
        <v>2</v>
      </c>
      <c r="B325" s="31" t="s">
        <v>615</v>
      </c>
      <c r="C325" s="30" t="s">
        <v>616</v>
      </c>
      <c r="D325" s="29">
        <v>244.32226781</v>
      </c>
      <c r="E325" s="29">
        <v>43.079981826716079</v>
      </c>
      <c r="F325" s="29">
        <v>17.632441861671701</v>
      </c>
      <c r="G325" s="29">
        <v>287.40224963671608</v>
      </c>
    </row>
    <row r="326" spans="1:7" x14ac:dyDescent="0.25">
      <c r="A326" s="36">
        <v>3</v>
      </c>
      <c r="B326" s="35" t="s">
        <v>617</v>
      </c>
      <c r="C326" s="34" t="s">
        <v>616</v>
      </c>
      <c r="D326" s="33">
        <v>244.32226781</v>
      </c>
      <c r="E326" s="33">
        <v>43.079981826716079</v>
      </c>
      <c r="F326" s="33">
        <v>17.632441861671701</v>
      </c>
      <c r="G326" s="33">
        <v>287.40224963671608</v>
      </c>
    </row>
    <row r="327" spans="1:7" x14ac:dyDescent="0.25">
      <c r="A327" s="32">
        <v>2</v>
      </c>
      <c r="B327" s="31" t="s">
        <v>618</v>
      </c>
      <c r="C327" s="30" t="s">
        <v>619</v>
      </c>
      <c r="D327" s="29">
        <v>0.131665323</v>
      </c>
      <c r="E327" s="29">
        <v>1.9879473309288354E-2</v>
      </c>
      <c r="F327" s="29">
        <v>15.09848823998127</v>
      </c>
      <c r="G327" s="29">
        <v>0.15154479630928835</v>
      </c>
    </row>
    <row r="328" spans="1:7" x14ac:dyDescent="0.25">
      <c r="A328" s="28">
        <v>3</v>
      </c>
      <c r="B328" s="27" t="s">
        <v>620</v>
      </c>
      <c r="C328" s="26" t="s">
        <v>619</v>
      </c>
      <c r="D328" s="25">
        <v>0.131665323</v>
      </c>
      <c r="E328" s="25">
        <v>1.9879473309288381E-2</v>
      </c>
      <c r="F328" s="25">
        <v>15.09848823998129</v>
      </c>
      <c r="G328" s="25">
        <v>0.15154479630928838</v>
      </c>
    </row>
    <row r="329" spans="1:7" x14ac:dyDescent="0.25">
      <c r="A329" s="40">
        <v>1</v>
      </c>
      <c r="B329" s="39" t="s">
        <v>621</v>
      </c>
      <c r="C329" s="38" t="s">
        <v>622</v>
      </c>
      <c r="D329" s="37">
        <v>452.91651660000002</v>
      </c>
      <c r="E329" s="37">
        <v>34.793072913416836</v>
      </c>
      <c r="F329" s="37">
        <v>7.682005764462958</v>
      </c>
      <c r="G329" s="37">
        <v>487.70958951341686</v>
      </c>
    </row>
    <row r="330" spans="1:7" x14ac:dyDescent="0.25">
      <c r="A330" s="32">
        <v>2</v>
      </c>
      <c r="B330" s="31" t="s">
        <v>623</v>
      </c>
      <c r="C330" s="30" t="s">
        <v>624</v>
      </c>
      <c r="D330" s="29">
        <v>231.43797434999999</v>
      </c>
      <c r="E330" s="29">
        <v>19.758862508799183</v>
      </c>
      <c r="F330" s="29">
        <v>8.5374332212734316</v>
      </c>
      <c r="G330" s="29">
        <v>251.19683685879917</v>
      </c>
    </row>
    <row r="331" spans="1:7" x14ac:dyDescent="0.25">
      <c r="A331" s="36">
        <v>3</v>
      </c>
      <c r="B331" s="35" t="s">
        <v>625</v>
      </c>
      <c r="C331" s="34" t="s">
        <v>626</v>
      </c>
      <c r="D331" s="33">
        <v>0.31172891809999997</v>
      </c>
      <c r="E331" s="33">
        <v>0</v>
      </c>
      <c r="F331" s="33">
        <v>0</v>
      </c>
      <c r="G331" s="33">
        <v>0.31172891809999997</v>
      </c>
    </row>
    <row r="332" spans="1:7" x14ac:dyDescent="0.25">
      <c r="A332" s="36">
        <v>3</v>
      </c>
      <c r="B332" s="35" t="s">
        <v>627</v>
      </c>
      <c r="C332" s="34" t="s">
        <v>628</v>
      </c>
      <c r="D332" s="33">
        <v>110.66001256</v>
      </c>
      <c r="E332" s="33">
        <v>9.1385982660165865</v>
      </c>
      <c r="F332" s="33">
        <v>8.2582660661290159</v>
      </c>
      <c r="G332" s="33">
        <v>119.79861082601658</v>
      </c>
    </row>
    <row r="333" spans="1:7" x14ac:dyDescent="0.25">
      <c r="A333" s="36">
        <v>3</v>
      </c>
      <c r="B333" s="35" t="s">
        <v>629</v>
      </c>
      <c r="C333" s="34" t="s">
        <v>630</v>
      </c>
      <c r="D333" s="33">
        <v>45.610089664</v>
      </c>
      <c r="E333" s="33">
        <v>3.5052488321543223</v>
      </c>
      <c r="F333" s="33">
        <v>7.6852487201335444</v>
      </c>
      <c r="G333" s="33">
        <v>49.115338496154322</v>
      </c>
    </row>
    <row r="334" spans="1:7" x14ac:dyDescent="0.25">
      <c r="A334" s="36">
        <v>3</v>
      </c>
      <c r="B334" s="35" t="s">
        <v>631</v>
      </c>
      <c r="C334" s="34" t="s">
        <v>632</v>
      </c>
      <c r="D334" s="33">
        <v>73.765250858000002</v>
      </c>
      <c r="E334" s="33">
        <v>7.115015410628331</v>
      </c>
      <c r="F334" s="33">
        <v>9.6454839207758098</v>
      </c>
      <c r="G334" s="33">
        <v>80.880266268628333</v>
      </c>
    </row>
    <row r="335" spans="1:7" x14ac:dyDescent="0.25">
      <c r="A335" s="32">
        <v>2</v>
      </c>
      <c r="B335" s="31" t="s">
        <v>633</v>
      </c>
      <c r="C335" s="30" t="s">
        <v>634</v>
      </c>
      <c r="D335" s="29">
        <v>214.58033890999999</v>
      </c>
      <c r="E335" s="29">
        <v>15.034210404617681</v>
      </c>
      <c r="F335" s="29">
        <v>7.0063317454836254</v>
      </c>
      <c r="G335" s="29">
        <v>229.61454931461768</v>
      </c>
    </row>
    <row r="336" spans="1:7" x14ac:dyDescent="0.25">
      <c r="A336" s="36">
        <v>3</v>
      </c>
      <c r="B336" s="35" t="s">
        <v>635</v>
      </c>
      <c r="C336" s="34" t="s">
        <v>636</v>
      </c>
      <c r="D336" s="33">
        <v>9.8358564199999998E-2</v>
      </c>
      <c r="E336" s="33">
        <v>3.2980797201260376E-3</v>
      </c>
      <c r="F336" s="33">
        <v>3.3531190160724589</v>
      </c>
      <c r="G336" s="33">
        <v>0.10165664392012604</v>
      </c>
    </row>
    <row r="337" spans="1:7" x14ac:dyDescent="0.25">
      <c r="A337" s="36">
        <v>3</v>
      </c>
      <c r="B337" s="35" t="s">
        <v>637</v>
      </c>
      <c r="C337" s="34" t="s">
        <v>638</v>
      </c>
      <c r="D337" s="33">
        <v>200.37525382000001</v>
      </c>
      <c r="E337" s="33">
        <v>14.650778418739435</v>
      </c>
      <c r="F337" s="33">
        <v>7.3116705478514037</v>
      </c>
      <c r="G337" s="33">
        <v>215.02603223873945</v>
      </c>
    </row>
    <row r="338" spans="1:7" x14ac:dyDescent="0.25">
      <c r="A338" s="36">
        <v>3</v>
      </c>
      <c r="B338" s="35" t="s">
        <v>639</v>
      </c>
      <c r="C338" s="34" t="s">
        <v>640</v>
      </c>
      <c r="D338" s="33">
        <v>14.677003213000001</v>
      </c>
      <c r="E338" s="33">
        <v>0.38013390615816256</v>
      </c>
      <c r="F338" s="33">
        <v>2.5899967496189067</v>
      </c>
      <c r="G338" s="33">
        <v>15.057137119158163</v>
      </c>
    </row>
    <row r="339" spans="1:7" x14ac:dyDescent="0.25">
      <c r="A339" s="32">
        <v>2</v>
      </c>
      <c r="B339" s="31" t="s">
        <v>641</v>
      </c>
      <c r="C339" s="30" t="s">
        <v>642</v>
      </c>
      <c r="D339" s="29">
        <v>0.1016244652</v>
      </c>
      <c r="E339" s="29">
        <v>0</v>
      </c>
      <c r="F339" s="29">
        <v>0</v>
      </c>
      <c r="G339" s="29">
        <v>0.1016244652</v>
      </c>
    </row>
    <row r="340" spans="1:7" x14ac:dyDescent="0.25">
      <c r="A340" s="28">
        <v>3</v>
      </c>
      <c r="B340" s="27" t="s">
        <v>643</v>
      </c>
      <c r="C340" s="26" t="s">
        <v>642</v>
      </c>
      <c r="D340" s="25">
        <v>0.1016244652</v>
      </c>
      <c r="E340" s="25">
        <v>0</v>
      </c>
      <c r="F340" s="25">
        <v>0</v>
      </c>
      <c r="G340" s="25">
        <v>0.10162446520000001</v>
      </c>
    </row>
    <row r="341" spans="1:7" x14ac:dyDescent="0.25">
      <c r="A341" s="40">
        <v>1</v>
      </c>
      <c r="B341" s="39" t="s">
        <v>644</v>
      </c>
      <c r="C341" s="38" t="s">
        <v>645</v>
      </c>
      <c r="D341" s="37">
        <v>844.98670010000001</v>
      </c>
      <c r="E341" s="37">
        <v>52.136246489482119</v>
      </c>
      <c r="F341" s="37">
        <v>6.1700671126908917</v>
      </c>
      <c r="G341" s="37">
        <v>897.12294658948213</v>
      </c>
    </row>
    <row r="342" spans="1:7" x14ac:dyDescent="0.25">
      <c r="A342" s="32">
        <v>2</v>
      </c>
      <c r="B342" s="31" t="s">
        <v>646</v>
      </c>
      <c r="C342" s="30" t="s">
        <v>647</v>
      </c>
      <c r="D342" s="29">
        <v>609.93491785000003</v>
      </c>
      <c r="E342" s="29">
        <v>46.073601560191946</v>
      </c>
      <c r="F342" s="29">
        <v>7.5538553724059332</v>
      </c>
      <c r="G342" s="29">
        <v>656.00851941019198</v>
      </c>
    </row>
    <row r="343" spans="1:7" x14ac:dyDescent="0.25">
      <c r="A343" s="36">
        <v>3</v>
      </c>
      <c r="B343" s="35" t="s">
        <v>648</v>
      </c>
      <c r="C343" s="34" t="s">
        <v>649</v>
      </c>
      <c r="D343" s="33">
        <v>5.4373026380000002</v>
      </c>
      <c r="E343" s="33">
        <v>0.40976408123338182</v>
      </c>
      <c r="F343" s="33">
        <v>7.5361646852179831</v>
      </c>
      <c r="G343" s="33">
        <v>5.8470667192333821</v>
      </c>
    </row>
    <row r="344" spans="1:7" x14ac:dyDescent="0.25">
      <c r="A344" s="36">
        <v>3</v>
      </c>
      <c r="B344" s="35" t="s">
        <v>650</v>
      </c>
      <c r="C344" s="34" t="s">
        <v>651</v>
      </c>
      <c r="D344" s="33">
        <v>154.02252720999999</v>
      </c>
      <c r="E344" s="33">
        <v>12.598646253627578</v>
      </c>
      <c r="F344" s="33">
        <v>8.1797425882060217</v>
      </c>
      <c r="G344" s="33">
        <v>166.62117346362757</v>
      </c>
    </row>
    <row r="345" spans="1:7" x14ac:dyDescent="0.25">
      <c r="A345" s="36">
        <v>3</v>
      </c>
      <c r="B345" s="35" t="s">
        <v>652</v>
      </c>
      <c r="C345" s="34" t="s">
        <v>653</v>
      </c>
      <c r="D345" s="33">
        <v>286.66154628999999</v>
      </c>
      <c r="E345" s="33">
        <v>23.355686171550531</v>
      </c>
      <c r="F345" s="33">
        <v>8.1474779138750772</v>
      </c>
      <c r="G345" s="33">
        <v>310.01723246155052</v>
      </c>
    </row>
    <row r="346" spans="1:7" x14ac:dyDescent="0.25">
      <c r="A346" s="36">
        <v>3</v>
      </c>
      <c r="B346" s="35" t="s">
        <v>654</v>
      </c>
      <c r="C346" s="34" t="s">
        <v>655</v>
      </c>
      <c r="D346" s="33">
        <v>138.30336736000001</v>
      </c>
      <c r="E346" s="33">
        <v>8.7062179038296392</v>
      </c>
      <c r="F346" s="33">
        <v>6.2950151323268821</v>
      </c>
      <c r="G346" s="33">
        <v>147.00958526382965</v>
      </c>
    </row>
    <row r="347" spans="1:7" x14ac:dyDescent="0.25">
      <c r="A347" s="36">
        <v>3</v>
      </c>
      <c r="B347" s="35" t="s">
        <v>656</v>
      </c>
      <c r="C347" s="34" t="s">
        <v>657</v>
      </c>
      <c r="D347" s="33">
        <v>20.940794350000001</v>
      </c>
      <c r="E347" s="33">
        <v>0.93018387004822145</v>
      </c>
      <c r="F347" s="33">
        <v>4.4419703211889932</v>
      </c>
      <c r="G347" s="33">
        <v>21.870978220048222</v>
      </c>
    </row>
    <row r="348" spans="1:7" x14ac:dyDescent="0.25">
      <c r="A348" s="36">
        <v>3</v>
      </c>
      <c r="B348" s="35" t="s">
        <v>658</v>
      </c>
      <c r="C348" s="34" t="s">
        <v>659</v>
      </c>
      <c r="D348" s="33">
        <v>1.0654356330999999</v>
      </c>
      <c r="E348" s="33">
        <v>7.3103279902784424E-2</v>
      </c>
      <c r="F348" s="33">
        <v>6.8613511348482454</v>
      </c>
      <c r="G348" s="33">
        <v>1.1385389130027843</v>
      </c>
    </row>
    <row r="349" spans="1:7" x14ac:dyDescent="0.25">
      <c r="A349" s="32">
        <v>2</v>
      </c>
      <c r="B349" s="31" t="s">
        <v>660</v>
      </c>
      <c r="C349" s="30" t="s">
        <v>661</v>
      </c>
      <c r="D349" s="29">
        <v>27.571921731</v>
      </c>
      <c r="E349" s="29">
        <v>0.1841420422195732</v>
      </c>
      <c r="F349" s="29">
        <v>0.66786074621899261</v>
      </c>
      <c r="G349" s="29">
        <v>27.756063773219573</v>
      </c>
    </row>
    <row r="350" spans="1:7" x14ac:dyDescent="0.25">
      <c r="A350" s="36">
        <v>3</v>
      </c>
      <c r="B350" s="35" t="s">
        <v>662</v>
      </c>
      <c r="C350" s="34" t="s">
        <v>661</v>
      </c>
      <c r="D350" s="33">
        <v>27.571921731</v>
      </c>
      <c r="E350" s="33">
        <v>0.1841420422195732</v>
      </c>
      <c r="F350" s="33">
        <v>0.66786074621899261</v>
      </c>
      <c r="G350" s="33">
        <v>27.756063773219573</v>
      </c>
    </row>
    <row r="351" spans="1:7" x14ac:dyDescent="0.25">
      <c r="A351" s="32">
        <v>2</v>
      </c>
      <c r="B351" s="31" t="s">
        <v>663</v>
      </c>
      <c r="C351" s="30" t="s">
        <v>664</v>
      </c>
      <c r="D351" s="29">
        <v>202.39616376000001</v>
      </c>
      <c r="E351" s="29">
        <v>5.8752902550780561</v>
      </c>
      <c r="F351" s="29">
        <v>2.9028664110674232</v>
      </c>
      <c r="G351" s="29">
        <v>208.27145401507806</v>
      </c>
    </row>
    <row r="352" spans="1:7" x14ac:dyDescent="0.25">
      <c r="A352" s="36">
        <v>3</v>
      </c>
      <c r="B352" s="35" t="s">
        <v>665</v>
      </c>
      <c r="C352" s="34" t="s">
        <v>666</v>
      </c>
      <c r="D352" s="33">
        <v>0.23518026810000001</v>
      </c>
      <c r="E352" s="33">
        <v>0</v>
      </c>
      <c r="F352" s="33">
        <v>0</v>
      </c>
      <c r="G352" s="33">
        <v>0.23518026810000001</v>
      </c>
    </row>
    <row r="353" spans="1:7" x14ac:dyDescent="0.25">
      <c r="A353" s="36">
        <v>3</v>
      </c>
      <c r="B353" s="35" t="s">
        <v>667</v>
      </c>
      <c r="C353" s="34" t="s">
        <v>668</v>
      </c>
      <c r="D353" s="33">
        <v>199.16037578999999</v>
      </c>
      <c r="E353" s="33">
        <v>6.1994852273850825</v>
      </c>
      <c r="F353" s="33">
        <v>3.1128105692680483</v>
      </c>
      <c r="G353" s="33">
        <v>205.35986101738507</v>
      </c>
    </row>
    <row r="354" spans="1:7" x14ac:dyDescent="0.25">
      <c r="A354" s="36">
        <v>3</v>
      </c>
      <c r="B354" s="35" t="s">
        <v>669</v>
      </c>
      <c r="C354" s="34" t="s">
        <v>670</v>
      </c>
      <c r="D354" s="33">
        <v>2.7865576157</v>
      </c>
      <c r="E354" s="33">
        <v>-0.32419497230698724</v>
      </c>
      <c r="F354" s="33">
        <v>-11.634246156634646</v>
      </c>
      <c r="G354" s="33">
        <v>2.4623626433930128</v>
      </c>
    </row>
    <row r="355" spans="1:7" x14ac:dyDescent="0.25">
      <c r="A355" s="32">
        <v>2</v>
      </c>
      <c r="B355" s="31" t="s">
        <v>671</v>
      </c>
      <c r="C355" s="30" t="s">
        <v>672</v>
      </c>
      <c r="D355" s="29">
        <v>9.2588463499999996E-2</v>
      </c>
      <c r="E355" s="29">
        <v>3.2126319924869334E-3</v>
      </c>
      <c r="F355" s="29">
        <v>3.4697972847199625</v>
      </c>
      <c r="G355" s="29">
        <v>9.5801095492486929E-2</v>
      </c>
    </row>
    <row r="356" spans="1:7" x14ac:dyDescent="0.25">
      <c r="A356" s="28">
        <v>3</v>
      </c>
      <c r="B356" s="27" t="s">
        <v>673</v>
      </c>
      <c r="C356" s="26" t="s">
        <v>672</v>
      </c>
      <c r="D356" s="25">
        <v>9.2588463499999996E-2</v>
      </c>
      <c r="E356" s="25">
        <v>3.2126319924869196E-3</v>
      </c>
      <c r="F356" s="25">
        <v>3.4697972847199479</v>
      </c>
      <c r="G356" s="25">
        <v>9.5801095492486915E-2</v>
      </c>
    </row>
    <row r="357" spans="1:7" x14ac:dyDescent="0.25">
      <c r="A357" s="40">
        <v>1</v>
      </c>
      <c r="B357" s="39" t="s">
        <v>674</v>
      </c>
      <c r="C357" s="38" t="s">
        <v>675</v>
      </c>
      <c r="D357" s="37">
        <v>1057.6770231</v>
      </c>
      <c r="E357" s="37">
        <v>129.34531506777239</v>
      </c>
      <c r="F357" s="37">
        <v>12.229188329029551</v>
      </c>
      <c r="G357" s="37">
        <v>1187.0223381677724</v>
      </c>
    </row>
    <row r="358" spans="1:7" x14ac:dyDescent="0.25">
      <c r="A358" s="32">
        <v>2</v>
      </c>
      <c r="B358" s="31" t="s">
        <v>676</v>
      </c>
      <c r="C358" s="30" t="s">
        <v>677</v>
      </c>
      <c r="D358" s="29">
        <v>610.50994370000001</v>
      </c>
      <c r="E358" s="29">
        <v>71.368387902205541</v>
      </c>
      <c r="F358" s="29">
        <v>11.689963224788265</v>
      </c>
      <c r="G358" s="29">
        <v>681.87833160220555</v>
      </c>
    </row>
    <row r="359" spans="1:7" x14ac:dyDescent="0.25">
      <c r="A359" s="36">
        <v>3</v>
      </c>
      <c r="B359" s="35" t="s">
        <v>678</v>
      </c>
      <c r="C359" s="34" t="s">
        <v>679</v>
      </c>
      <c r="D359" s="33">
        <v>0.29053383459999998</v>
      </c>
      <c r="E359" s="33">
        <v>1.4001718399719698E-2</v>
      </c>
      <c r="F359" s="33">
        <v>4.819307334375333</v>
      </c>
      <c r="G359" s="33">
        <v>0.30453555299971968</v>
      </c>
    </row>
    <row r="360" spans="1:7" x14ac:dyDescent="0.25">
      <c r="A360" s="36">
        <v>3</v>
      </c>
      <c r="B360" s="35" t="s">
        <v>680</v>
      </c>
      <c r="C360" s="34" t="s">
        <v>681</v>
      </c>
      <c r="D360" s="33">
        <v>61.270430054000002</v>
      </c>
      <c r="E360" s="33">
        <v>13.692288618741017</v>
      </c>
      <c r="F360" s="33">
        <v>22.347302943154588</v>
      </c>
      <c r="G360" s="33">
        <v>74.962718672741019</v>
      </c>
    </row>
    <row r="361" spans="1:7" x14ac:dyDescent="0.25">
      <c r="A361" s="36">
        <v>3</v>
      </c>
      <c r="B361" s="35" t="s">
        <v>682</v>
      </c>
      <c r="C361" s="34" t="s">
        <v>683</v>
      </c>
      <c r="D361" s="33">
        <v>552.10127201</v>
      </c>
      <c r="E361" s="33">
        <v>57.662097565064755</v>
      </c>
      <c r="F361" s="33">
        <v>10.444116050509724</v>
      </c>
      <c r="G361" s="33">
        <v>609.76336957506476</v>
      </c>
    </row>
    <row r="362" spans="1:7" x14ac:dyDescent="0.25">
      <c r="A362" s="32">
        <v>2</v>
      </c>
      <c r="B362" s="31" t="s">
        <v>684</v>
      </c>
      <c r="C362" s="30" t="s">
        <v>685</v>
      </c>
      <c r="D362" s="29">
        <v>239.0482748</v>
      </c>
      <c r="E362" s="29">
        <v>17.33240339940636</v>
      </c>
      <c r="F362" s="29">
        <v>7.2505871100335417</v>
      </c>
      <c r="G362" s="29">
        <v>256.38067819940636</v>
      </c>
    </row>
    <row r="363" spans="1:7" x14ac:dyDescent="0.25">
      <c r="A363" s="36">
        <v>3</v>
      </c>
      <c r="B363" s="35" t="s">
        <v>686</v>
      </c>
      <c r="C363" s="34" t="s">
        <v>685</v>
      </c>
      <c r="D363" s="33">
        <v>239.0482748</v>
      </c>
      <c r="E363" s="33">
        <v>17.33240339940636</v>
      </c>
      <c r="F363" s="33">
        <v>7.2505871100335417</v>
      </c>
      <c r="G363" s="33">
        <v>256.38067819940636</v>
      </c>
    </row>
    <row r="364" spans="1:7" x14ac:dyDescent="0.25">
      <c r="A364" s="32">
        <v>2</v>
      </c>
      <c r="B364" s="31" t="s">
        <v>687</v>
      </c>
      <c r="C364" s="30" t="s">
        <v>688</v>
      </c>
      <c r="D364" s="29">
        <v>203.24051957</v>
      </c>
      <c r="E364" s="29">
        <v>40.613036677402505</v>
      </c>
      <c r="F364" s="29">
        <v>19.982745942260092</v>
      </c>
      <c r="G364" s="29">
        <v>243.85355624740251</v>
      </c>
    </row>
    <row r="365" spans="1:7" x14ac:dyDescent="0.25">
      <c r="A365" s="36">
        <v>3</v>
      </c>
      <c r="B365" s="35" t="s">
        <v>689</v>
      </c>
      <c r="C365" s="34" t="s">
        <v>690</v>
      </c>
      <c r="D365" s="33">
        <v>3.2108821565999999</v>
      </c>
      <c r="E365" s="33">
        <v>0.6491363871722271</v>
      </c>
      <c r="F365" s="33">
        <v>20.216761485248561</v>
      </c>
      <c r="G365" s="33">
        <v>3.860018543772227</v>
      </c>
    </row>
    <row r="366" spans="1:7" x14ac:dyDescent="0.25">
      <c r="A366" s="36">
        <v>3</v>
      </c>
      <c r="B366" s="35" t="s">
        <v>691</v>
      </c>
      <c r="C366" s="34" t="s">
        <v>688</v>
      </c>
      <c r="D366" s="33">
        <v>198.43659124000001</v>
      </c>
      <c r="E366" s="33">
        <v>39.343472304539887</v>
      </c>
      <c r="F366" s="33">
        <v>19.826722510545324</v>
      </c>
      <c r="G366" s="33">
        <v>237.7800635445399</v>
      </c>
    </row>
    <row r="367" spans="1:7" x14ac:dyDescent="0.25">
      <c r="A367" s="36">
        <v>3</v>
      </c>
      <c r="B367" s="35" t="s">
        <v>692</v>
      </c>
      <c r="C367" s="34" t="s">
        <v>693</v>
      </c>
      <c r="D367" s="33">
        <v>6.3310128548</v>
      </c>
      <c r="E367" s="33">
        <v>0.62042798569040158</v>
      </c>
      <c r="F367" s="33">
        <v>9.7998219229646661</v>
      </c>
      <c r="G367" s="33">
        <v>6.9514408404904016</v>
      </c>
    </row>
    <row r="368" spans="1:7" x14ac:dyDescent="0.25">
      <c r="A368" s="32">
        <v>2</v>
      </c>
      <c r="B368" s="31" t="s">
        <v>694</v>
      </c>
      <c r="C368" s="30" t="s">
        <v>695</v>
      </c>
      <c r="D368" s="29">
        <v>0.44622353529999997</v>
      </c>
      <c r="E368" s="29">
        <v>3.1487088758260451E-2</v>
      </c>
      <c r="F368" s="29">
        <v>7.0563487282425399</v>
      </c>
      <c r="G368" s="29">
        <v>0.47771062405826042</v>
      </c>
    </row>
    <row r="369" spans="1:7" x14ac:dyDescent="0.25">
      <c r="A369" s="28">
        <v>3</v>
      </c>
      <c r="B369" s="27" t="s">
        <v>696</v>
      </c>
      <c r="C369" s="26" t="s">
        <v>695</v>
      </c>
      <c r="D369" s="25">
        <v>0.44622353529999997</v>
      </c>
      <c r="E369" s="25">
        <v>3.1487088758260395E-2</v>
      </c>
      <c r="F369" s="25">
        <v>7.0563487282425275</v>
      </c>
      <c r="G369" s="25">
        <v>0.47771062405826037</v>
      </c>
    </row>
    <row r="370" spans="1:7" x14ac:dyDescent="0.25">
      <c r="A370" s="40">
        <v>1</v>
      </c>
      <c r="B370" s="39" t="s">
        <v>697</v>
      </c>
      <c r="C370" s="38" t="s">
        <v>698</v>
      </c>
      <c r="D370" s="37">
        <v>1688.9512419</v>
      </c>
      <c r="E370" s="37">
        <v>252.56838837668101</v>
      </c>
      <c r="F370" s="37">
        <v>14.954155105895897</v>
      </c>
      <c r="G370" s="37">
        <v>1941.519630276681</v>
      </c>
    </row>
    <row r="371" spans="1:7" x14ac:dyDescent="0.25">
      <c r="A371" s="32">
        <v>2</v>
      </c>
      <c r="B371" s="31" t="s">
        <v>699</v>
      </c>
      <c r="C371" s="30" t="s">
        <v>700</v>
      </c>
      <c r="D371" s="29">
        <v>454.40950679000002</v>
      </c>
      <c r="E371" s="29">
        <v>61.002425115388746</v>
      </c>
      <c r="F371" s="29">
        <v>13.424548607338071</v>
      </c>
      <c r="G371" s="29">
        <v>515.41193190538877</v>
      </c>
    </row>
    <row r="372" spans="1:7" x14ac:dyDescent="0.25">
      <c r="A372" s="36">
        <v>3</v>
      </c>
      <c r="B372" s="35" t="s">
        <v>701</v>
      </c>
      <c r="C372" s="34" t="s">
        <v>700</v>
      </c>
      <c r="D372" s="33">
        <v>454.40950679000002</v>
      </c>
      <c r="E372" s="33">
        <v>61.002425115388746</v>
      </c>
      <c r="F372" s="33">
        <v>13.424548607338071</v>
      </c>
      <c r="G372" s="33">
        <v>515.41193190538877</v>
      </c>
    </row>
    <row r="373" spans="1:7" x14ac:dyDescent="0.25">
      <c r="A373" s="32">
        <v>2</v>
      </c>
      <c r="B373" s="31" t="s">
        <v>702</v>
      </c>
      <c r="C373" s="30" t="s">
        <v>703</v>
      </c>
      <c r="D373" s="29">
        <v>532.57490402999997</v>
      </c>
      <c r="E373" s="29">
        <v>86.005274635199726</v>
      </c>
      <c r="F373" s="29">
        <v>16.148953693536232</v>
      </c>
      <c r="G373" s="29">
        <v>618.5801786651997</v>
      </c>
    </row>
    <row r="374" spans="1:7" x14ac:dyDescent="0.25">
      <c r="A374" s="36">
        <v>3</v>
      </c>
      <c r="B374" s="35" t="s">
        <v>704</v>
      </c>
      <c r="C374" s="34" t="s">
        <v>705</v>
      </c>
      <c r="D374" s="33">
        <v>32.744044193000001</v>
      </c>
      <c r="E374" s="33">
        <v>5.1472469265137235</v>
      </c>
      <c r="F374" s="33">
        <v>15.719643230918001</v>
      </c>
      <c r="G374" s="33">
        <v>37.891291119513724</v>
      </c>
    </row>
    <row r="375" spans="1:7" x14ac:dyDescent="0.25">
      <c r="A375" s="36">
        <v>3</v>
      </c>
      <c r="B375" s="35" t="s">
        <v>706</v>
      </c>
      <c r="C375" s="34" t="s">
        <v>707</v>
      </c>
      <c r="D375" s="33">
        <v>198.55542951999999</v>
      </c>
      <c r="E375" s="33">
        <v>33.582157082519728</v>
      </c>
      <c r="F375" s="33">
        <v>16.913240380131274</v>
      </c>
      <c r="G375" s="33">
        <v>232.13758660251972</v>
      </c>
    </row>
    <row r="376" spans="1:7" x14ac:dyDescent="0.25">
      <c r="A376" s="36">
        <v>3</v>
      </c>
      <c r="B376" s="35" t="s">
        <v>708</v>
      </c>
      <c r="C376" s="34" t="s">
        <v>709</v>
      </c>
      <c r="D376" s="33">
        <v>56.846049420999996</v>
      </c>
      <c r="E376" s="33">
        <v>6.2621778977367768</v>
      </c>
      <c r="F376" s="33">
        <v>11.016030069845822</v>
      </c>
      <c r="G376" s="33">
        <v>63.108227318736773</v>
      </c>
    </row>
    <row r="377" spans="1:7" x14ac:dyDescent="0.25">
      <c r="A377" s="36">
        <v>3</v>
      </c>
      <c r="B377" s="35" t="s">
        <v>710</v>
      </c>
      <c r="C377" s="34" t="s">
        <v>711</v>
      </c>
      <c r="D377" s="33">
        <v>215.36042846999999</v>
      </c>
      <c r="E377" s="33">
        <v>35.710653418052345</v>
      </c>
      <c r="F377" s="33">
        <v>16.581808307010721</v>
      </c>
      <c r="G377" s="33">
        <v>251.07108188805233</v>
      </c>
    </row>
    <row r="378" spans="1:7" x14ac:dyDescent="0.25">
      <c r="A378" s="36">
        <v>3</v>
      </c>
      <c r="B378" s="35" t="s">
        <v>712</v>
      </c>
      <c r="C378" s="34" t="s">
        <v>713</v>
      </c>
      <c r="D378" s="33">
        <v>34.081221460000002</v>
      </c>
      <c r="E378" s="33">
        <v>5.3030393103772653</v>
      </c>
      <c r="F378" s="33">
        <v>15.560003671233632</v>
      </c>
      <c r="G378" s="33">
        <v>39.384260770377267</v>
      </c>
    </row>
    <row r="379" spans="1:7" x14ac:dyDescent="0.25">
      <c r="A379" s="32">
        <v>2</v>
      </c>
      <c r="B379" s="31" t="s">
        <v>714</v>
      </c>
      <c r="C379" s="30" t="s">
        <v>715</v>
      </c>
      <c r="D379" s="29">
        <v>258.02783529999999</v>
      </c>
      <c r="E379" s="29">
        <v>30.057734548559097</v>
      </c>
      <c r="F379" s="29">
        <v>11.649027909571078</v>
      </c>
      <c r="G379" s="29">
        <v>288.08556984855909</v>
      </c>
    </row>
    <row r="380" spans="1:7" x14ac:dyDescent="0.25">
      <c r="A380" s="36">
        <v>3</v>
      </c>
      <c r="B380" s="35" t="s">
        <v>716</v>
      </c>
      <c r="C380" s="34" t="s">
        <v>715</v>
      </c>
      <c r="D380" s="33">
        <v>258.02783529999999</v>
      </c>
      <c r="E380" s="33">
        <v>30.057734548559097</v>
      </c>
      <c r="F380" s="33">
        <v>11.649027909571078</v>
      </c>
      <c r="G380" s="33">
        <v>288.08556984855909</v>
      </c>
    </row>
    <row r="381" spans="1:7" x14ac:dyDescent="0.25">
      <c r="A381" s="32">
        <v>2</v>
      </c>
      <c r="B381" s="31" t="s">
        <v>717</v>
      </c>
      <c r="C381" s="30" t="s">
        <v>718</v>
      </c>
      <c r="D381" s="29">
        <v>441.79754582999999</v>
      </c>
      <c r="E381" s="29">
        <v>75.502954077533218</v>
      </c>
      <c r="F381" s="29">
        <v>17.089944204123338</v>
      </c>
      <c r="G381" s="29">
        <v>517.30049990753321</v>
      </c>
    </row>
    <row r="382" spans="1:7" x14ac:dyDescent="0.25">
      <c r="A382" s="36">
        <v>3</v>
      </c>
      <c r="B382" s="35" t="s">
        <v>719</v>
      </c>
      <c r="C382" s="34" t="s">
        <v>720</v>
      </c>
      <c r="D382" s="33">
        <v>6.7122062733999996</v>
      </c>
      <c r="E382" s="33">
        <v>0</v>
      </c>
      <c r="F382" s="33">
        <v>0</v>
      </c>
      <c r="G382" s="33">
        <v>6.7122062733999996</v>
      </c>
    </row>
    <row r="383" spans="1:7" x14ac:dyDescent="0.25">
      <c r="A383" s="36">
        <v>3</v>
      </c>
      <c r="B383" s="35" t="s">
        <v>721</v>
      </c>
      <c r="C383" s="34" t="s">
        <v>722</v>
      </c>
      <c r="D383" s="33">
        <v>147.35006476000001</v>
      </c>
      <c r="E383" s="33">
        <v>18.560944910400877</v>
      </c>
      <c r="F383" s="33">
        <v>12.596495930037403</v>
      </c>
      <c r="G383" s="33">
        <v>165.91100967040089</v>
      </c>
    </row>
    <row r="384" spans="1:7" x14ac:dyDescent="0.25">
      <c r="A384" s="36">
        <v>3</v>
      </c>
      <c r="B384" s="35" t="s">
        <v>723</v>
      </c>
      <c r="C384" s="34" t="s">
        <v>724</v>
      </c>
      <c r="D384" s="33">
        <v>284.57972603000002</v>
      </c>
      <c r="E384" s="33">
        <v>56.942009167132426</v>
      </c>
      <c r="F384" s="33">
        <v>20.009158755437721</v>
      </c>
      <c r="G384" s="33">
        <v>341.52173519713244</v>
      </c>
    </row>
    <row r="385" spans="1:7" x14ac:dyDescent="0.25">
      <c r="A385" s="32">
        <v>2</v>
      </c>
      <c r="B385" s="31" t="s">
        <v>725</v>
      </c>
      <c r="C385" s="30" t="s">
        <v>726</v>
      </c>
      <c r="D385" s="29">
        <v>0.25435824029999998</v>
      </c>
      <c r="E385" s="29">
        <v>0</v>
      </c>
      <c r="F385" s="29">
        <v>0</v>
      </c>
      <c r="G385" s="29">
        <v>0.25435824029999998</v>
      </c>
    </row>
    <row r="386" spans="1:7" x14ac:dyDescent="0.25">
      <c r="A386" s="28">
        <v>3</v>
      </c>
      <c r="B386" s="27" t="s">
        <v>727</v>
      </c>
      <c r="C386" s="26" t="s">
        <v>726</v>
      </c>
      <c r="D386" s="25">
        <v>0.25435824029999998</v>
      </c>
      <c r="E386" s="25">
        <v>0</v>
      </c>
      <c r="F386" s="25">
        <v>0</v>
      </c>
      <c r="G386" s="25">
        <v>0.25435824029999998</v>
      </c>
    </row>
    <row r="387" spans="1:7" x14ac:dyDescent="0.25">
      <c r="A387" s="40">
        <v>1</v>
      </c>
      <c r="B387" s="39" t="s">
        <v>728</v>
      </c>
      <c r="C387" s="38" t="s">
        <v>729</v>
      </c>
      <c r="D387" s="37">
        <v>257.16379999999998</v>
      </c>
      <c r="E387" s="37">
        <v>26.696919402043363</v>
      </c>
      <c r="F387" s="37">
        <v>10.38128982463448</v>
      </c>
      <c r="G387" s="37">
        <v>283.86071940204334</v>
      </c>
    </row>
    <row r="388" spans="1:7" x14ac:dyDescent="0.25">
      <c r="A388" s="32">
        <v>2</v>
      </c>
      <c r="B388" s="31" t="s">
        <v>730</v>
      </c>
      <c r="C388" s="30" t="s">
        <v>731</v>
      </c>
      <c r="D388" s="29">
        <v>29.591839152999999</v>
      </c>
      <c r="E388" s="29">
        <v>0.33265700448987445</v>
      </c>
      <c r="F388" s="29">
        <v>1.1241511646840305</v>
      </c>
      <c r="G388" s="29">
        <v>29.924496157489873</v>
      </c>
    </row>
    <row r="389" spans="1:7" x14ac:dyDescent="0.25">
      <c r="A389" s="36">
        <v>3</v>
      </c>
      <c r="B389" s="35" t="s">
        <v>732</v>
      </c>
      <c r="C389" s="34" t="s">
        <v>733</v>
      </c>
      <c r="D389" s="33">
        <v>9.8429816399999995E-2</v>
      </c>
      <c r="E389" s="33">
        <v>0</v>
      </c>
      <c r="F389" s="33">
        <v>0</v>
      </c>
      <c r="G389" s="33">
        <v>9.8429816399999995E-2</v>
      </c>
    </row>
    <row r="390" spans="1:7" x14ac:dyDescent="0.25">
      <c r="A390" s="36">
        <v>3</v>
      </c>
      <c r="B390" s="35" t="s">
        <v>734</v>
      </c>
      <c r="C390" s="34" t="s">
        <v>735</v>
      </c>
      <c r="D390" s="33">
        <v>12.063246579999999</v>
      </c>
      <c r="E390" s="33">
        <v>0.30843773300598265</v>
      </c>
      <c r="F390" s="33">
        <v>2.5568385008174364</v>
      </c>
      <c r="G390" s="33">
        <v>12.371684313005982</v>
      </c>
    </row>
    <row r="391" spans="1:7" x14ac:dyDescent="0.25">
      <c r="A391" s="36">
        <v>3</v>
      </c>
      <c r="B391" s="35" t="s">
        <v>736</v>
      </c>
      <c r="C391" s="34" t="s">
        <v>737</v>
      </c>
      <c r="D391" s="33">
        <v>17.498135958999999</v>
      </c>
      <c r="E391" s="33">
        <v>2.4219271483893579E-2</v>
      </c>
      <c r="F391" s="33">
        <v>0.13841058007916909</v>
      </c>
      <c r="G391" s="33">
        <v>17.522355230483893</v>
      </c>
    </row>
    <row r="392" spans="1:7" x14ac:dyDescent="0.25">
      <c r="A392" s="32">
        <v>2</v>
      </c>
      <c r="B392" s="31" t="s">
        <v>738</v>
      </c>
      <c r="C392" s="30" t="s">
        <v>739</v>
      </c>
      <c r="D392" s="29">
        <v>51.051503216999997</v>
      </c>
      <c r="E392" s="29">
        <v>6.0533734238673844</v>
      </c>
      <c r="F392" s="29">
        <v>11.857385272548898</v>
      </c>
      <c r="G392" s="29">
        <v>57.104876640867381</v>
      </c>
    </row>
    <row r="393" spans="1:7" x14ac:dyDescent="0.25">
      <c r="A393" s="36">
        <v>3</v>
      </c>
      <c r="B393" s="35" t="s">
        <v>740</v>
      </c>
      <c r="C393" s="34" t="s">
        <v>739</v>
      </c>
      <c r="D393" s="33">
        <v>51.051503216999997</v>
      </c>
      <c r="E393" s="33">
        <v>6.0533734238673844</v>
      </c>
      <c r="F393" s="33">
        <v>11.857385272548898</v>
      </c>
      <c r="G393" s="33">
        <v>57.104876640867381</v>
      </c>
    </row>
    <row r="394" spans="1:7" x14ac:dyDescent="0.25">
      <c r="A394" s="32">
        <v>2</v>
      </c>
      <c r="B394" s="31" t="s">
        <v>741</v>
      </c>
      <c r="C394" s="30" t="s">
        <v>742</v>
      </c>
      <c r="D394" s="29">
        <v>144.23898527</v>
      </c>
      <c r="E394" s="29">
        <v>20.862481315012616</v>
      </c>
      <c r="F394" s="29">
        <v>14.463829786350949</v>
      </c>
      <c r="G394" s="29">
        <v>165.10146658501262</v>
      </c>
    </row>
    <row r="395" spans="1:7" x14ac:dyDescent="0.25">
      <c r="A395" s="36">
        <v>3</v>
      </c>
      <c r="B395" s="35" t="s">
        <v>743</v>
      </c>
      <c r="C395" s="34" t="s">
        <v>744</v>
      </c>
      <c r="D395" s="33">
        <v>0.55813062359999999</v>
      </c>
      <c r="E395" s="33">
        <v>5.513476543148077E-2</v>
      </c>
      <c r="F395" s="33">
        <v>9.8784698599506804</v>
      </c>
      <c r="G395" s="33">
        <v>0.61326538903148076</v>
      </c>
    </row>
    <row r="396" spans="1:7" x14ac:dyDescent="0.25">
      <c r="A396" s="36">
        <v>3</v>
      </c>
      <c r="B396" s="35" t="s">
        <v>745</v>
      </c>
      <c r="C396" s="34" t="s">
        <v>746</v>
      </c>
      <c r="D396" s="33">
        <v>116.03881457</v>
      </c>
      <c r="E396" s="33">
        <v>17.90106017324203</v>
      </c>
      <c r="F396" s="33">
        <v>15.426786493448086</v>
      </c>
      <c r="G396" s="33">
        <v>133.93987474324203</v>
      </c>
    </row>
    <row r="397" spans="1:7" x14ac:dyDescent="0.25">
      <c r="A397" s="36">
        <v>3</v>
      </c>
      <c r="B397" s="35" t="s">
        <v>747</v>
      </c>
      <c r="C397" s="34" t="s">
        <v>748</v>
      </c>
      <c r="D397" s="33">
        <v>7.2903385396999996</v>
      </c>
      <c r="E397" s="33">
        <v>1.85300088887832E-2</v>
      </c>
      <c r="F397" s="33">
        <v>0.25417213189589022</v>
      </c>
      <c r="G397" s="33">
        <v>7.3088685485887828</v>
      </c>
    </row>
    <row r="398" spans="1:7" x14ac:dyDescent="0.25">
      <c r="A398" s="36">
        <v>3</v>
      </c>
      <c r="B398" s="35" t="s">
        <v>749</v>
      </c>
      <c r="C398" s="34" t="s">
        <v>750</v>
      </c>
      <c r="D398" s="33">
        <v>19.193783740000001</v>
      </c>
      <c r="E398" s="33">
        <v>2.8877563674503044</v>
      </c>
      <c r="F398" s="33">
        <v>15.045268856667363</v>
      </c>
      <c r="G398" s="33">
        <v>22.081540107450305</v>
      </c>
    </row>
    <row r="399" spans="1:7" x14ac:dyDescent="0.25">
      <c r="A399" s="32">
        <v>2</v>
      </c>
      <c r="B399" s="31" t="s">
        <v>751</v>
      </c>
      <c r="C399" s="30" t="s">
        <v>752</v>
      </c>
      <c r="D399" s="29">
        <v>29.313827663000001</v>
      </c>
      <c r="E399" s="29">
        <v>-0.55591309433141589</v>
      </c>
      <c r="F399" s="29">
        <v>-1.8964193305710499</v>
      </c>
      <c r="G399" s="29">
        <v>28.757914568668586</v>
      </c>
    </row>
    <row r="400" spans="1:7" x14ac:dyDescent="0.25">
      <c r="A400" s="36">
        <v>3</v>
      </c>
      <c r="B400" s="35" t="s">
        <v>753</v>
      </c>
      <c r="C400" s="34" t="s">
        <v>752</v>
      </c>
      <c r="D400" s="33">
        <v>29.313827663000001</v>
      </c>
      <c r="E400" s="33">
        <v>-0.55591309433141589</v>
      </c>
      <c r="F400" s="33">
        <v>-1.8964193305710499</v>
      </c>
      <c r="G400" s="33">
        <v>28.757914568668586</v>
      </c>
    </row>
    <row r="401" spans="1:7" x14ac:dyDescent="0.25">
      <c r="A401" s="32">
        <v>2</v>
      </c>
      <c r="B401" s="31" t="s">
        <v>754</v>
      </c>
      <c r="C401" s="30" t="s">
        <v>755</v>
      </c>
      <c r="D401" s="29">
        <v>0.10423178280000001</v>
      </c>
      <c r="E401" s="29">
        <v>4.3207530048974124E-3</v>
      </c>
      <c r="F401" s="29">
        <v>4.1453315762506673</v>
      </c>
      <c r="G401" s="29">
        <v>0.10855253580489742</v>
      </c>
    </row>
    <row r="402" spans="1:7" x14ac:dyDescent="0.25">
      <c r="A402" s="28">
        <v>3</v>
      </c>
      <c r="B402" s="27" t="s">
        <v>756</v>
      </c>
      <c r="C402" s="26" t="s">
        <v>755</v>
      </c>
      <c r="D402" s="25">
        <v>0.10423178280000001</v>
      </c>
      <c r="E402" s="25">
        <v>4.3207530048974124E-3</v>
      </c>
      <c r="F402" s="25">
        <v>4.1453315762506673</v>
      </c>
      <c r="G402" s="25">
        <v>0.10855253580489742</v>
      </c>
    </row>
    <row r="403" spans="1:7" x14ac:dyDescent="0.25">
      <c r="A403" s="40">
        <v>1</v>
      </c>
      <c r="B403" s="39" t="s">
        <v>757</v>
      </c>
      <c r="C403" s="38" t="s">
        <v>758</v>
      </c>
      <c r="D403" s="37">
        <v>521.0966932</v>
      </c>
      <c r="E403" s="37">
        <v>38.360541694115682</v>
      </c>
      <c r="F403" s="37">
        <v>7.3615016550090981</v>
      </c>
      <c r="G403" s="37">
        <v>559.45723489411569</v>
      </c>
    </row>
    <row r="404" spans="1:7" x14ac:dyDescent="0.25">
      <c r="A404" s="32">
        <v>2</v>
      </c>
      <c r="B404" s="31" t="s">
        <v>759</v>
      </c>
      <c r="C404" s="30" t="s">
        <v>760</v>
      </c>
      <c r="D404" s="29">
        <v>229.68760521999999</v>
      </c>
      <c r="E404" s="29">
        <v>10.174850779360327</v>
      </c>
      <c r="F404" s="29">
        <v>4.4298649766558471</v>
      </c>
      <c r="G404" s="29">
        <v>239.86245599936032</v>
      </c>
    </row>
    <row r="405" spans="1:7" x14ac:dyDescent="0.25">
      <c r="A405" s="36">
        <v>3</v>
      </c>
      <c r="B405" s="35" t="s">
        <v>761</v>
      </c>
      <c r="C405" s="34" t="s">
        <v>762</v>
      </c>
      <c r="D405" s="33">
        <v>0.17638206510000001</v>
      </c>
      <c r="E405" s="33">
        <v>7.7937109539827909E-3</v>
      </c>
      <c r="F405" s="33">
        <v>4.4186527408918455</v>
      </c>
      <c r="G405" s="33">
        <v>0.1841757760539828</v>
      </c>
    </row>
    <row r="406" spans="1:7" x14ac:dyDescent="0.25">
      <c r="A406" s="36">
        <v>3</v>
      </c>
      <c r="B406" s="35" t="s">
        <v>763</v>
      </c>
      <c r="C406" s="34" t="s">
        <v>764</v>
      </c>
      <c r="D406" s="33">
        <v>141.87414052</v>
      </c>
      <c r="E406" s="33">
        <v>6.3978185613955532</v>
      </c>
      <c r="F406" s="33">
        <v>4.5095029565966973</v>
      </c>
      <c r="G406" s="33">
        <v>148.27195908139555</v>
      </c>
    </row>
    <row r="407" spans="1:7" x14ac:dyDescent="0.25">
      <c r="A407" s="36">
        <v>3</v>
      </c>
      <c r="B407" s="35" t="s">
        <v>765</v>
      </c>
      <c r="C407" s="34" t="s">
        <v>766</v>
      </c>
      <c r="D407" s="33">
        <v>78.602757687999997</v>
      </c>
      <c r="E407" s="33">
        <v>3.337007587614778</v>
      </c>
      <c r="F407" s="33">
        <v>4.2454077767353287</v>
      </c>
      <c r="G407" s="33">
        <v>81.939765275614775</v>
      </c>
    </row>
    <row r="408" spans="1:7" x14ac:dyDescent="0.25">
      <c r="A408" s="36">
        <v>3</v>
      </c>
      <c r="B408" s="35" t="s">
        <v>767</v>
      </c>
      <c r="C408" s="34" t="s">
        <v>768</v>
      </c>
      <c r="D408" s="33">
        <v>11.521997818999999</v>
      </c>
      <c r="E408" s="33">
        <v>0.43223091939604075</v>
      </c>
      <c r="F408" s="33">
        <v>3.7513539421373912</v>
      </c>
      <c r="G408" s="33">
        <v>11.95422873839604</v>
      </c>
    </row>
    <row r="409" spans="1:7" x14ac:dyDescent="0.25">
      <c r="A409" s="32">
        <v>2</v>
      </c>
      <c r="B409" s="31" t="s">
        <v>769</v>
      </c>
      <c r="C409" s="30" t="s">
        <v>770</v>
      </c>
      <c r="D409" s="29">
        <v>286.71127139999999</v>
      </c>
      <c r="E409" s="29">
        <v>27.927793779371768</v>
      </c>
      <c r="F409" s="29">
        <v>9.7407380055208286</v>
      </c>
      <c r="G409" s="29">
        <v>314.63906517937176</v>
      </c>
    </row>
    <row r="410" spans="1:7" x14ac:dyDescent="0.25">
      <c r="A410" s="36">
        <v>3</v>
      </c>
      <c r="B410" s="35" t="s">
        <v>771</v>
      </c>
      <c r="C410" s="34" t="s">
        <v>772</v>
      </c>
      <c r="D410" s="33">
        <v>0.17229779449999999</v>
      </c>
      <c r="E410" s="33">
        <v>0</v>
      </c>
      <c r="F410" s="33">
        <v>0</v>
      </c>
      <c r="G410" s="33">
        <v>0.17229779449999999</v>
      </c>
    </row>
    <row r="411" spans="1:7" x14ac:dyDescent="0.25">
      <c r="A411" s="36">
        <v>3</v>
      </c>
      <c r="B411" s="35" t="s">
        <v>773</v>
      </c>
      <c r="C411" s="34" t="s">
        <v>774</v>
      </c>
      <c r="D411" s="33">
        <v>131.78006668</v>
      </c>
      <c r="E411" s="33">
        <v>20.089652435631621</v>
      </c>
      <c r="F411" s="33">
        <v>15.244834019104792</v>
      </c>
      <c r="G411" s="33">
        <v>151.86971911563163</v>
      </c>
    </row>
    <row r="412" spans="1:7" x14ac:dyDescent="0.25">
      <c r="A412" s="36">
        <v>3</v>
      </c>
      <c r="B412" s="35" t="s">
        <v>775</v>
      </c>
      <c r="C412" s="34" t="s">
        <v>776</v>
      </c>
      <c r="D412" s="33">
        <v>9.9523546374999992</v>
      </c>
      <c r="E412" s="33">
        <v>0.83076583484403876</v>
      </c>
      <c r="F412" s="33">
        <v>8.3474299811800581</v>
      </c>
      <c r="G412" s="33">
        <v>10.783120472344038</v>
      </c>
    </row>
    <row r="413" spans="1:7" x14ac:dyDescent="0.25">
      <c r="A413" s="36">
        <v>3</v>
      </c>
      <c r="B413" s="35" t="s">
        <v>777</v>
      </c>
      <c r="C413" s="34" t="s">
        <v>778</v>
      </c>
      <c r="D413" s="33">
        <v>64.601017479999996</v>
      </c>
      <c r="E413" s="33">
        <v>5.8327674134661862</v>
      </c>
      <c r="F413" s="33">
        <v>9.0289095141140283</v>
      </c>
      <c r="G413" s="33">
        <v>70.433784893466182</v>
      </c>
    </row>
    <row r="414" spans="1:7" x14ac:dyDescent="0.25">
      <c r="A414" s="36">
        <v>3</v>
      </c>
      <c r="B414" s="35" t="s">
        <v>779</v>
      </c>
      <c r="C414" s="34" t="s">
        <v>780</v>
      </c>
      <c r="D414" s="33">
        <v>29.12645126</v>
      </c>
      <c r="E414" s="33">
        <v>0.73763785054691766</v>
      </c>
      <c r="F414" s="33">
        <v>2.5325359549034112</v>
      </c>
      <c r="G414" s="33">
        <v>29.864089110546917</v>
      </c>
    </row>
    <row r="415" spans="1:7" x14ac:dyDescent="0.25">
      <c r="A415" s="36">
        <v>3</v>
      </c>
      <c r="B415" s="35" t="s">
        <v>781</v>
      </c>
      <c r="C415" s="34" t="s">
        <v>782</v>
      </c>
      <c r="D415" s="33">
        <v>52.332269453000002</v>
      </c>
      <c r="E415" s="33">
        <v>0.43697024488292868</v>
      </c>
      <c r="F415" s="33">
        <v>0.83499196470998627</v>
      </c>
      <c r="G415" s="33">
        <v>52.769239697882931</v>
      </c>
    </row>
    <row r="416" spans="1:7" x14ac:dyDescent="0.25">
      <c r="A416" s="32">
        <v>2</v>
      </c>
      <c r="B416" s="31" t="s">
        <v>783</v>
      </c>
      <c r="C416" s="30" t="s">
        <v>784</v>
      </c>
      <c r="D416" s="29">
        <v>4.4899504926000002</v>
      </c>
      <c r="E416" s="29">
        <v>0.25789713538359038</v>
      </c>
      <c r="F416" s="29">
        <v>5.7438748112843809</v>
      </c>
      <c r="G416" s="29">
        <v>4.7478476279835906</v>
      </c>
    </row>
    <row r="417" spans="1:7" x14ac:dyDescent="0.25">
      <c r="A417" s="36">
        <v>3</v>
      </c>
      <c r="B417" s="35" t="s">
        <v>785</v>
      </c>
      <c r="C417" s="34" t="s">
        <v>784</v>
      </c>
      <c r="D417" s="33">
        <v>4.4899504926000002</v>
      </c>
      <c r="E417" s="33">
        <v>0.25789713538359038</v>
      </c>
      <c r="F417" s="33">
        <v>5.7438748112843809</v>
      </c>
      <c r="G417" s="33">
        <v>4.7478476279835906</v>
      </c>
    </row>
    <row r="418" spans="1:7" x14ac:dyDescent="0.25">
      <c r="A418" s="32">
        <v>2</v>
      </c>
      <c r="B418" s="31" t="s">
        <v>786</v>
      </c>
      <c r="C418" s="30" t="s">
        <v>787</v>
      </c>
      <c r="D418" s="29">
        <v>9.5953015500000002E-2</v>
      </c>
      <c r="E418" s="29">
        <v>0</v>
      </c>
      <c r="F418" s="29">
        <v>0</v>
      </c>
      <c r="G418" s="29">
        <v>9.5953015500000002E-2</v>
      </c>
    </row>
    <row r="419" spans="1:7" x14ac:dyDescent="0.25">
      <c r="A419" s="28">
        <v>3</v>
      </c>
      <c r="B419" s="27" t="s">
        <v>788</v>
      </c>
      <c r="C419" s="26" t="s">
        <v>787</v>
      </c>
      <c r="D419" s="25">
        <v>9.5953015500000002E-2</v>
      </c>
      <c r="E419" s="25">
        <v>0</v>
      </c>
      <c r="F419" s="25">
        <v>0</v>
      </c>
      <c r="G419" s="25">
        <v>9.5953015499999988E-2</v>
      </c>
    </row>
    <row r="420" spans="1:7" x14ac:dyDescent="0.25">
      <c r="A420" s="24">
        <v>0</v>
      </c>
      <c r="B420" s="23" t="s">
        <v>789</v>
      </c>
      <c r="C420" s="22" t="s">
        <v>790</v>
      </c>
      <c r="D420" s="21">
        <v>12879.6307784</v>
      </c>
      <c r="E420" s="21">
        <v>1075.0446322565003</v>
      </c>
      <c r="F420" s="21">
        <v>8.3468590889998353</v>
      </c>
      <c r="G420" s="21">
        <v>13954.6754106565</v>
      </c>
    </row>
  </sheetData>
  <autoFilter ref="A3:B420" xr:uid="{00000000-0009-0000-0000-000003000000}"/>
  <mergeCells count="7">
    <mergeCell ref="E2:F2"/>
    <mergeCell ref="G2:G3"/>
    <mergeCell ref="E1:G1"/>
    <mergeCell ref="A2:A3"/>
    <mergeCell ref="B2:B3"/>
    <mergeCell ref="C2:C3"/>
    <mergeCell ref="D2:D3"/>
  </mergeCells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7</xdr:col>
                <xdr:colOff>0</xdr:colOff>
                <xdr:row>419</xdr:row>
                <xdr:rowOff>0</xdr:rowOff>
              </from>
              <to>
                <xdr:col>8</xdr:col>
                <xdr:colOff>304800</xdr:colOff>
                <xdr:row>420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Industry Employment</vt:lpstr>
      <vt:lpstr>Calc</vt:lpstr>
      <vt:lpstr>Trend Data IN</vt:lpstr>
      <vt:lpstr>Projections IN</vt:lpstr>
      <vt:lpstr>Plot_origen</vt:lpstr>
      <vt:lpstr>Selected_Industry</vt:lpstr>
      <vt:lpstr>Srch1</vt:lpstr>
      <vt:lpstr>Srch1to3</vt:lpstr>
      <vt:lpstr>Srch2</vt:lpstr>
      <vt:lpstr>Srch2to3</vt:lpstr>
      <vt:lpstr>Transfer_origen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2015-04-24T04:45:56Z</dcterms:created>
  <dcterms:modified xsi:type="dcterms:W3CDTF">2020-07-28T04:43:41Z</dcterms:modified>
</cp:coreProperties>
</file>